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Control Summary" sheetId="2" r:id="rId2"/>
    <sheet name="Control Exceptions" sheetId="3" r:id="rId3"/>
    <sheet name="Close Checklist" sheetId="4" r:id="rId4"/>
    <sheet name="Budget Variance" sheetId="5" r:id="rId5"/>
  </sheets>
  <calcPr calcId="124519" fullCalcOnLoad="1"/>
</workbook>
</file>

<file path=xl/sharedStrings.xml><?xml version="1.0" encoding="utf-8"?>
<sst xmlns="http://schemas.openxmlformats.org/spreadsheetml/2006/main" count="863" uniqueCount="87">
  <si>
    <t>Automated Financial Close &amp; Controls Report</t>
  </si>
  <si>
    <t>Executive Control Metrics</t>
  </si>
  <si>
    <t>Total Exceptions</t>
  </si>
  <si>
    <t>High-Severity Exceptions</t>
  </si>
  <si>
    <t>Medium-Severity Exceptions</t>
  </si>
  <si>
    <t>Close Tasks Completed</t>
  </si>
  <si>
    <t>Total Close Tasks</t>
  </si>
  <si>
    <t>Close Completion Rate</t>
  </si>
  <si>
    <t>Management Assessment</t>
  </si>
  <si>
    <t>Overall Status</t>
  </si>
  <si>
    <t>ACTION REQUIRED</t>
  </si>
  <si>
    <t>Primary Concern</t>
  </si>
  <si>
    <t>High-severity control exceptions require review.</t>
  </si>
  <si>
    <t>Recommended Action</t>
  </si>
  <si>
    <t>Investigate duplicate transactions, invalid account activity, and unbalanced journal entries before completing the financial close.</t>
  </si>
  <si>
    <t>control_name</t>
  </si>
  <si>
    <t>severity</t>
  </si>
  <si>
    <t>exception_count</t>
  </si>
  <si>
    <t>Duplicate AP invoice</t>
  </si>
  <si>
    <t>Duplicate GL transaction</t>
  </si>
  <si>
    <t>Incomplete close task</t>
  </si>
  <si>
    <t>Invalid account number</t>
  </si>
  <si>
    <t>Missing vendor name</t>
  </si>
  <si>
    <t>Unbalanced journal entry</t>
  </si>
  <si>
    <t>High</t>
  </si>
  <si>
    <t>Medium</t>
  </si>
  <si>
    <t>record_id</t>
  </si>
  <si>
    <t>details</t>
  </si>
  <si>
    <t>GL row 10</t>
  </si>
  <si>
    <t>GL row 1200</t>
  </si>
  <si>
    <t>GL row 25</t>
  </si>
  <si>
    <t>JE-10006</t>
  </si>
  <si>
    <t>JE-10021</t>
  </si>
  <si>
    <t>INV-00006</t>
  </si>
  <si>
    <t>INV-00013</t>
  </si>
  <si>
    <t>Accounts receivable close</t>
  </si>
  <si>
    <t>Payroll accrual</t>
  </si>
  <si>
    <t>Expense variance review</t>
  </si>
  <si>
    <t>Management report review</t>
  </si>
  <si>
    <t>Possible duplicate entry in journal JE-10006</t>
  </si>
  <si>
    <t>Account 9999 is not in the chart of accounts</t>
  </si>
  <si>
    <t>Journal is out of balance by $5,371.52</t>
  </si>
  <si>
    <t>Journal is out of balance by $125.00</t>
  </si>
  <si>
    <t>Duplicate invoice found for Johnson, Butler and Fleming</t>
  </si>
  <si>
    <t>Invoice does not have a valid vendor name</t>
  </si>
  <si>
    <t>Task owned by Finance has status: In Progress</t>
  </si>
  <si>
    <t>Task owned by Finance has status: Not Started</t>
  </si>
  <si>
    <t>Task owned by Operations has status: In Progress</t>
  </si>
  <si>
    <t>task_name</t>
  </si>
  <si>
    <t>owner</t>
  </si>
  <si>
    <t>due_date</t>
  </si>
  <si>
    <t>status</t>
  </si>
  <si>
    <t>Bank reconciliations</t>
  </si>
  <si>
    <t>Accounts payable close</t>
  </si>
  <si>
    <t>Revenue review</t>
  </si>
  <si>
    <t>Finance</t>
  </si>
  <si>
    <t>Sales</t>
  </si>
  <si>
    <t>Operations</t>
  </si>
  <si>
    <t>2026-12-31</t>
  </si>
  <si>
    <t>Completed</t>
  </si>
  <si>
    <t>In Progress</t>
  </si>
  <si>
    <t>Not Started</t>
  </si>
  <si>
    <t>period</t>
  </si>
  <si>
    <t>department</t>
  </si>
  <si>
    <t>account_id</t>
  </si>
  <si>
    <t>budget_amount</t>
  </si>
  <si>
    <t>actual_amount</t>
  </si>
  <si>
    <t>variance_amount</t>
  </si>
  <si>
    <t>variance_percent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</si>
  <si>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</si>
  <si>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</si>
  <si>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</si>
  <si>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</si>
  <si>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</si>
  <si>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</si>
  <si>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</si>
  <si>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</si>
  <si>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</si>
  <si>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</si>
  <si>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</si>
  <si>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</si>
  <si>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Technology</t>
  </si>
  <si>
    <t>Marketing</t>
  </si>
  <si>
    <t>Control Summary</t>
  </si>
  <si>
    <t>Control Exceptions</t>
  </si>
  <si>
    <t>Close Checklist</t>
  </si>
  <si>
    <t>Budget Variance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</si>
</sst>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6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1F1F1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4CC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  <xf numFmtId="0" fontId="4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0" fillId="0" borderId="0" xfId="0" applyAlignment="1">
      <alignment vertical="top" wrapText="1"/>
    </xf>
    <xf numFmtId="164" fontId="4" fillId="0" borderId="1" xfId="0" applyNumberFormat="1" applyFont="1" applyBorder="1" applyAlignment="1">
      <alignment horizontal="center"/>
    </xf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4CCCC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274E13"/>
      </font>
      <fill>
        <patternFill>
          <bgColor rgb="FFD9EAD3"/>
        </patternFill>
      </fill>
    </dxf>
    <dxf>
      <font>
        <color rgb="FF783F04"/>
      </font>
      <fill>
        <patternFill>
          <bgColor rgb="FFFCE5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Exceptions by Control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Exceptions</c:v>
          </c:tx>
          <c:spPr>
            <a:solidFill>
              <a:srgbClr val="5B9BD5"/>
            </a:solidFill>
            <a:ln>
              <a:solidFill>
                <a:srgbClr val="2F5597"/>
              </a:solidFill>
            </a:ln>
          </c:spPr>
          <c:dLbls>
            <c:showVal val="1"/>
          </c:dLbls>
          <c:cat>
            <c:strRef>
              <c:f>'Control Summary'!$A$4:$A$9</c:f>
              <c:strCache>
                <c:ptCount val="6"/>
                <c:pt idx="0">
                  <c:v>Duplicate AP invoice</c:v>
                </c:pt>
                <c:pt idx="1">
                  <c:v>Duplicate GL transaction</c:v>
                </c:pt>
                <c:pt idx="2">
                  <c:v>Incomplete close task</c:v>
                </c:pt>
                <c:pt idx="3">
                  <c:v>Invalid account number</c:v>
                </c:pt>
                <c:pt idx="4">
                  <c:v>Missing vendor name</c:v>
                </c:pt>
                <c:pt idx="5">
                  <c:v>Unbalanced journal entry</c:v>
                </c:pt>
              </c:strCache>
            </c:strRef>
          </c:cat>
          <c:val>
            <c:numRef>
              <c:f>'Control Summary'!$C$4:$C$9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Control</a:t>
                </a:r>
              </a:p>
            </c:rich>
          </c:tx>
          <c:layout/>
        </c:title>
        <c:tickLblPos val="low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Exception 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  <c:majorUnit val="1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5</xdr:col>
      <xdr:colOff>95250</xdr:colOff>
      <xdr:row>29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3:C9" totalsRowShown="0">
  <autoFilter ref="A3:C9"/>
  <tableColumns count="3">
    <tableColumn id="1" name="control_name"/>
    <tableColumn id="2" name="severity"/>
    <tableColumn id="3" name="exception_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3:D15" totalsRowShown="0">
  <autoFilter ref="A3:D15"/>
  <tableColumns count="4">
    <tableColumn id="1" name="control_name"/>
    <tableColumn id="2" name="record_id"/>
    <tableColumn id="3" name="severity"/>
    <tableColumn id="4" name="detail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3:D10" totalsRowShown="0">
  <autoFilter ref="A3:D10"/>
  <tableColumns count="4">
    <tableColumn id="1" name="task_name"/>
    <tableColumn id="2" name="owner"/>
    <tableColumn id="3" name="due_date"/>
    <tableColumn id="4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3:G363" totalsRowShown="0">
  <autoFilter ref="A3:G363"/>
  <tableColumns count="7">
    <tableColumn id="1" name="period"/>
    <tableColumn id="2" name="department"/>
    <tableColumn id="3" name="account_id"/>
    <tableColumn id="4" name="budget_amount"/>
    <tableColumn id="5" name="actual_amount"/>
    <tableColumn id="6" name="variance_amount"/>
    <tableColumn id="7" name="variance_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showGridLines="0" tabSelected="1" workbookViewId="0">
      <pane ySplit="3" topLeftCell="A4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  <col min="3" max="3" width="3.7109375" customWidth="1"/>
    <col min="4" max="4" width="24.7109375" customWidth="1"/>
    <col min="5" max="8" width="18.7109375" customWidth="1"/>
  </cols>
  <sheetData>
    <row r="1" spans="1:8" ht="25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D4" s="2" t="s">
        <v>8</v>
      </c>
    </row>
    <row r="5" spans="1:8">
      <c r="A5" s="3" t="s">
        <v>2</v>
      </c>
      <c r="B5" s="4">
        <v>12</v>
      </c>
      <c r="D5" s="3" t="s">
        <v>9</v>
      </c>
      <c r="E5" s="5" t="s">
        <v>10</v>
      </c>
    </row>
    <row r="6" spans="1:8" ht="30" customHeight="1">
      <c r="A6" s="3" t="s">
        <v>3</v>
      </c>
      <c r="B6" s="4">
        <v>7</v>
      </c>
      <c r="D6" s="3" t="s">
        <v>11</v>
      </c>
      <c r="E6" s="6" t="s">
        <v>12</v>
      </c>
      <c r="F6" s="6"/>
      <c r="G6" s="6"/>
      <c r="H6" s="6"/>
    </row>
    <row r="7" spans="1:8" ht="42" customHeight="1">
      <c r="A7" s="3" t="s">
        <v>4</v>
      </c>
      <c r="B7" s="4">
        <v>5</v>
      </c>
      <c r="D7" s="3" t="s">
        <v>13</v>
      </c>
      <c r="E7" s="6" t="s">
        <v>14</v>
      </c>
      <c r="F7" s="6"/>
      <c r="G7" s="6"/>
      <c r="H7" s="6"/>
    </row>
    <row r="8" spans="1:8">
      <c r="A8" s="3" t="s">
        <v>5</v>
      </c>
      <c r="B8" s="4">
        <v>3</v>
      </c>
      <c r="E8" s="6"/>
      <c r="F8" s="6"/>
      <c r="G8" s="6"/>
      <c r="H8" s="6"/>
    </row>
    <row r="9" spans="1:8">
      <c r="A9" s="3" t="s">
        <v>6</v>
      </c>
      <c r="B9" s="4">
        <v>7</v>
      </c>
    </row>
    <row r="10" spans="1:8">
      <c r="A10" s="3" t="s">
        <v>7</v>
      </c>
      <c r="B10" s="7">
        <v>0.4285714285714285</v>
      </c>
    </row>
  </sheetData>
  <mergeCells count="3">
    <mergeCell ref="A1:H2"/>
    <mergeCell ref="E6:H6"/>
    <mergeCell ref="E7:H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7.7109375" customWidth="1"/>
    <col min="2" max="2" width="11.7109375" customWidth="1"/>
    <col min="3" max="3" width="18.7109375" customWidth="1"/>
  </cols>
  <sheetData>
    <row r="1" spans="1:3">
      <c r="A1" s="1" t="s">
        <v>83</v>
      </c>
      <c r="B1" s="1"/>
      <c r="C1" s="1"/>
    </row>
    <row r="3" spans="1:3">
      <c r="A3" t="s">
        <v>15</v>
      </c>
      <c r="B3" t="s">
        <v>16</v>
      </c>
      <c r="C3" t="s">
        <v>17</v>
      </c>
    </row>
    <row r="4" spans="1:3">
      <c r="A4" t="s">
        <v>18</v>
      </c>
      <c r="B4" t="s">
        <v>24</v>
      </c>
      <c r="C4">
        <v>2</v>
      </c>
    </row>
    <row r="5" spans="1:3">
      <c r="A5" t="s">
        <v>19</v>
      </c>
      <c r="B5" t="s">
        <v>24</v>
      </c>
      <c r="C5">
        <v>2</v>
      </c>
    </row>
    <row r="6" spans="1:3">
      <c r="A6" t="s">
        <v>20</v>
      </c>
      <c r="B6" t="s">
        <v>25</v>
      </c>
      <c r="C6">
        <v>4</v>
      </c>
    </row>
    <row r="7" spans="1:3">
      <c r="A7" t="s">
        <v>21</v>
      </c>
      <c r="B7" t="s">
        <v>24</v>
      </c>
      <c r="C7">
        <v>1</v>
      </c>
    </row>
    <row r="8" spans="1:3">
      <c r="A8" t="s">
        <v>22</v>
      </c>
      <c r="B8" t="s">
        <v>25</v>
      </c>
      <c r="C8">
        <v>1</v>
      </c>
    </row>
    <row r="9" spans="1:3">
      <c r="A9" t="s">
        <v>23</v>
      </c>
      <c r="B9" t="s">
        <v>24</v>
      </c>
      <c r="C9">
        <v>2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7.7109375" customWidth="1"/>
    <col min="2" max="2" width="28.7109375" customWidth="1"/>
    <col min="3" max="3" width="11.7109375" customWidth="1"/>
    <col min="4" max="4" width="45.7109375" customWidth="1"/>
  </cols>
  <sheetData>
    <row r="1" spans="1:4">
      <c r="A1" s="1" t="s">
        <v>84</v>
      </c>
      <c r="B1" s="1"/>
      <c r="C1" s="1"/>
      <c r="D1" s="1"/>
    </row>
    <row r="3" spans="1:4">
      <c r="A3" t="s">
        <v>15</v>
      </c>
      <c r="B3" t="s">
        <v>26</v>
      </c>
      <c r="C3" t="s">
        <v>16</v>
      </c>
      <c r="D3" t="s">
        <v>27</v>
      </c>
    </row>
    <row r="4" spans="1:4">
      <c r="A4" t="s">
        <v>19</v>
      </c>
      <c r="B4" t="s">
        <v>28</v>
      </c>
      <c r="C4" t="s">
        <v>24</v>
      </c>
      <c r="D4" t="s">
        <v>39</v>
      </c>
    </row>
    <row r="5" spans="1:4">
      <c r="A5" t="s">
        <v>19</v>
      </c>
      <c r="B5" t="s">
        <v>29</v>
      </c>
      <c r="C5" t="s">
        <v>24</v>
      </c>
      <c r="D5" t="s">
        <v>39</v>
      </c>
    </row>
    <row r="6" spans="1:4">
      <c r="A6" t="s">
        <v>21</v>
      </c>
      <c r="B6" t="s">
        <v>30</v>
      </c>
      <c r="C6" t="s">
        <v>24</v>
      </c>
      <c r="D6" t="s">
        <v>40</v>
      </c>
    </row>
    <row r="7" spans="1:4">
      <c r="A7" t="s">
        <v>23</v>
      </c>
      <c r="B7" t="s">
        <v>31</v>
      </c>
      <c r="C7" t="s">
        <v>24</v>
      </c>
      <c r="D7" t="s">
        <v>41</v>
      </c>
    </row>
    <row r="8" spans="1:4">
      <c r="A8" t="s">
        <v>23</v>
      </c>
      <c r="B8" t="s">
        <v>32</v>
      </c>
      <c r="C8" t="s">
        <v>24</v>
      </c>
      <c r="D8" t="s">
        <v>42</v>
      </c>
    </row>
    <row r="9" spans="1:4">
      <c r="A9" t="s">
        <v>18</v>
      </c>
      <c r="B9" t="s">
        <v>33</v>
      </c>
      <c r="C9" t="s">
        <v>24</v>
      </c>
      <c r="D9" t="s">
        <v>43</v>
      </c>
    </row>
    <row r="10" spans="1:4">
      <c r="A10" t="s">
        <v>18</v>
      </c>
      <c r="B10" t="s">
        <v>33</v>
      </c>
      <c r="C10" t="s">
        <v>24</v>
      </c>
      <c r="D10" t="s">
        <v>43</v>
      </c>
    </row>
    <row r="11" spans="1:4">
      <c r="A11" t="s">
        <v>22</v>
      </c>
      <c r="B11" t="s">
        <v>34</v>
      </c>
      <c r="C11" t="s">
        <v>25</v>
      </c>
      <c r="D11" t="s">
        <v>44</v>
      </c>
    </row>
    <row r="12" spans="1:4">
      <c r="A12" t="s">
        <v>20</v>
      </c>
      <c r="B12" t="s">
        <v>35</v>
      </c>
      <c r="C12" t="s">
        <v>25</v>
      </c>
      <c r="D12" t="s">
        <v>45</v>
      </c>
    </row>
    <row r="13" spans="1:4">
      <c r="A13" t="s">
        <v>20</v>
      </c>
      <c r="B13" t="s">
        <v>36</v>
      </c>
      <c r="C13" t="s">
        <v>25</v>
      </c>
      <c r="D13" t="s">
        <v>46</v>
      </c>
    </row>
    <row r="14" spans="1:4">
      <c r="A14" t="s">
        <v>20</v>
      </c>
      <c r="B14" t="s">
        <v>37</v>
      </c>
      <c r="C14" t="s">
        <v>25</v>
      </c>
      <c r="D14" t="s">
        <v>47</v>
      </c>
    </row>
    <row r="15" spans="1:4">
      <c r="A15" t="s">
        <v>20</v>
      </c>
      <c r="B15" t="s">
        <v>38</v>
      </c>
      <c r="C15" t="s">
        <v>25</v>
      </c>
      <c r="D15" t="s">
        <v>46</v>
      </c>
    </row>
  </sheetData>
  <mergeCells count="1">
    <mergeCell ref="A1:D1"/>
  </mergeCells>
  <conditionalFormatting sqref="C4:C15">
    <cfRule type="containsText" dxfId="0" priority="1" operator="containsText" text="High">
      <formula>NOT(ISERROR(SEARCH("High",C4)))</formula>
    </cfRule>
    <cfRule type="containsText" dxfId="1" priority="2" operator="containsText" text="Medium">
      <formula>NOT(ISERROR(SEARCH("Medium",C4)))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8.7109375" customWidth="1"/>
    <col min="2" max="3" width="13.7109375" customWidth="1"/>
    <col min="4" max="4" width="14.7109375" customWidth="1"/>
  </cols>
  <sheetData>
    <row r="1" spans="1:4">
      <c r="A1" s="1" t="s">
        <v>85</v>
      </c>
      <c r="B1" s="1"/>
      <c r="C1" s="1"/>
      <c r="D1" s="1"/>
    </row>
    <row r="3" spans="1:4">
      <c r="A3" t="s">
        <v>48</v>
      </c>
      <c r="B3" t="s">
        <v>49</v>
      </c>
      <c r="C3" t="s">
        <v>50</v>
      </c>
      <c r="D3" t="s">
        <v>51</v>
      </c>
    </row>
    <row r="4" spans="1:4">
      <c r="A4" t="s">
        <v>52</v>
      </c>
      <c r="B4" t="s">
        <v>55</v>
      </c>
      <c r="C4" t="s">
        <v>58</v>
      </c>
      <c r="D4" t="s">
        <v>59</v>
      </c>
    </row>
    <row r="5" spans="1:4">
      <c r="A5" t="s">
        <v>53</v>
      </c>
      <c r="B5" t="s">
        <v>55</v>
      </c>
      <c r="C5" t="s">
        <v>58</v>
      </c>
      <c r="D5" t="s">
        <v>59</v>
      </c>
    </row>
    <row r="6" spans="1:4">
      <c r="A6" t="s">
        <v>35</v>
      </c>
      <c r="B6" t="s">
        <v>55</v>
      </c>
      <c r="C6" t="s">
        <v>58</v>
      </c>
      <c r="D6" t="s">
        <v>60</v>
      </c>
    </row>
    <row r="7" spans="1:4">
      <c r="A7" t="s">
        <v>36</v>
      </c>
      <c r="B7" t="s">
        <v>55</v>
      </c>
      <c r="C7" t="s">
        <v>58</v>
      </c>
      <c r="D7" t="s">
        <v>61</v>
      </c>
    </row>
    <row r="8" spans="1:4">
      <c r="A8" t="s">
        <v>54</v>
      </c>
      <c r="B8" t="s">
        <v>56</v>
      </c>
      <c r="C8" t="s">
        <v>58</v>
      </c>
      <c r="D8" t="s">
        <v>59</v>
      </c>
    </row>
    <row r="9" spans="1:4">
      <c r="A9" t="s">
        <v>37</v>
      </c>
      <c r="B9" t="s">
        <v>57</v>
      </c>
      <c r="C9" t="s">
        <v>58</v>
      </c>
      <c r="D9" t="s">
        <v>60</v>
      </c>
    </row>
    <row r="10" spans="1:4">
      <c r="A10" t="s">
        <v>38</v>
      </c>
      <c r="B10" t="s">
        <v>55</v>
      </c>
      <c r="C10" t="s">
        <v>58</v>
      </c>
      <c r="D10" t="s">
        <v>61</v>
      </c>
    </row>
  </sheetData>
  <mergeCells count="1">
    <mergeCell ref="A1:D1"/>
  </mergeCells>
  <conditionalFormatting sqref="D4:D10">
    <cfRule type="containsText" dxfId="2" priority="1" operator="containsText" text="Completed">
      <formula>NOT(ISERROR(SEARCH("Completed",D4)))</formula>
    </cfRule>
    <cfRule type="containsText" dxfId="3" priority="2" operator="containsText" text="In Progress">
      <formula>NOT(ISERROR(SEARCH("In Progress",D4)))</formula>
    </cfRule>
    <cfRule type="containsText" dxfId="0" priority="3" operator="containsText" text="Not Started">
      <formula>NOT(ISERROR(SEARCH("Not Started",D4)))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G36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3" width="13.7109375" customWidth="1"/>
    <col min="4" max="6" width="16.7109375" style="8" customWidth="1"/>
    <col min="7" max="7" width="16.7109375" style="9" customWidth="1"/>
  </cols>
  <sheetData>
    <row r="1" spans="1:7">
      <c r="A1" s="1" t="s">
        <v>86</v>
      </c>
      <c r="B1" s="1"/>
      <c r="C1" s="1"/>
      <c r="D1" s="1"/>
      <c r="E1" s="1"/>
      <c r="F1" s="1"/>
      <c r="G1" s="1"/>
    </row>
    <row r="3" spans="1:7">
      <c r="A3" t="s">
        <v>62</v>
      </c>
      <c r="B3" t="s">
        <v>63</v>
      </c>
      <c r="C3" t="s">
        <v>64</v>
      </c>
      <c r="D3" s="8" t="s">
        <v>65</v>
      </c>
      <c r="E3" s="8" t="s">
        <v>66</v>
      </c>
      <c r="F3" s="8" t="s">
        <v>67</v>
      </c>
      <c r="G3" s="9" t="s">
        <v>68</v>
      </c>
    </row>
    <row r="4" spans="1:7">
      <c r="A4" t="s">
        <v>69</v>
      </c>
      <c r="B4" t="s">
        <v>55</v>
      </c>
      <c r="C4">
        <v>5000</v>
      </c>
      <c r="D4" s="8">
        <v>48958.91</v>
      </c>
      <c r="E4" s="8">
        <v>33692.21</v>
      </c>
      <c r="F4" s="8">
        <v>15266.7</v>
      </c>
      <c r="G4" s="9">
        <v>0.3118267951635362</v>
      </c>
    </row>
    <row r="5" spans="1:7">
      <c r="A5" t="s">
        <v>69</v>
      </c>
      <c r="B5" t="s">
        <v>55</v>
      </c>
      <c r="C5">
        <v>6100</v>
      </c>
      <c r="D5" s="8">
        <v>73807.14</v>
      </c>
      <c r="E5" s="8">
        <v>8444.93</v>
      </c>
      <c r="F5" s="8">
        <v>65362.21</v>
      </c>
      <c r="G5" s="9">
        <v>0.8855811239942368</v>
      </c>
    </row>
    <row r="6" spans="1:7">
      <c r="A6" t="s">
        <v>69</v>
      </c>
      <c r="B6" t="s">
        <v>55</v>
      </c>
      <c r="C6">
        <v>6200</v>
      </c>
      <c r="D6" s="8">
        <v>10624.04</v>
      </c>
      <c r="E6" s="8">
        <v>0</v>
      </c>
      <c r="F6" s="8">
        <v>10624.04</v>
      </c>
      <c r="G6" s="9">
        <v>1</v>
      </c>
    </row>
    <row r="7" spans="1:7">
      <c r="A7" t="s">
        <v>69</v>
      </c>
      <c r="B7" t="s">
        <v>55</v>
      </c>
      <c r="C7">
        <v>6300</v>
      </c>
      <c r="D7" s="8">
        <v>79787.11</v>
      </c>
      <c r="E7" s="8">
        <v>0</v>
      </c>
      <c r="F7" s="8">
        <v>79787.11</v>
      </c>
      <c r="G7" s="9">
        <v>1</v>
      </c>
    </row>
    <row r="8" spans="1:7">
      <c r="A8" t="s">
        <v>69</v>
      </c>
      <c r="B8" t="s">
        <v>55</v>
      </c>
      <c r="C8">
        <v>6400</v>
      </c>
      <c r="D8" s="8">
        <v>19831.28</v>
      </c>
      <c r="E8" s="8">
        <v>18431.74</v>
      </c>
      <c r="F8" s="8">
        <v>1399.539999999997</v>
      </c>
      <c r="G8" s="9">
        <v>0.07057234833051609</v>
      </c>
    </row>
    <row r="9" spans="1:7">
      <c r="A9" t="s">
        <v>69</v>
      </c>
      <c r="B9" t="s">
        <v>55</v>
      </c>
      <c r="C9">
        <v>6500</v>
      </c>
      <c r="D9" s="8">
        <v>53449.02</v>
      </c>
      <c r="E9" s="8">
        <v>36084.92</v>
      </c>
      <c r="F9" s="8">
        <v>17364.1</v>
      </c>
      <c r="G9" s="9">
        <v>0.3248721866182018</v>
      </c>
    </row>
    <row r="10" spans="1:7">
      <c r="A10" t="s">
        <v>69</v>
      </c>
      <c r="B10" t="s">
        <v>57</v>
      </c>
      <c r="C10">
        <v>5000</v>
      </c>
      <c r="D10" s="8">
        <v>65697.39999999999</v>
      </c>
      <c r="E10" s="8">
        <v>0</v>
      </c>
      <c r="F10" s="8">
        <v>65697.39999999999</v>
      </c>
      <c r="G10" s="9">
        <v>1</v>
      </c>
    </row>
    <row r="11" spans="1:7">
      <c r="A11" t="s">
        <v>69</v>
      </c>
      <c r="B11" t="s">
        <v>57</v>
      </c>
      <c r="C11">
        <v>6100</v>
      </c>
      <c r="D11" s="8">
        <v>11898.4</v>
      </c>
      <c r="E11" s="8">
        <v>25147.84</v>
      </c>
      <c r="F11" s="8">
        <v>-13249.44</v>
      </c>
      <c r="G11" s="9">
        <v>-1.113548040072615</v>
      </c>
    </row>
    <row r="12" spans="1:7">
      <c r="A12" t="s">
        <v>69</v>
      </c>
      <c r="B12" t="s">
        <v>57</v>
      </c>
      <c r="C12">
        <v>6200</v>
      </c>
      <c r="D12" s="8">
        <v>68545.66</v>
      </c>
      <c r="E12" s="8">
        <v>0</v>
      </c>
      <c r="F12" s="8">
        <v>68545.66</v>
      </c>
      <c r="G12" s="9">
        <v>1</v>
      </c>
    </row>
    <row r="13" spans="1:7">
      <c r="A13" t="s">
        <v>69</v>
      </c>
      <c r="B13" t="s">
        <v>57</v>
      </c>
      <c r="C13">
        <v>6300</v>
      </c>
      <c r="D13" s="8">
        <v>65666.53999999999</v>
      </c>
      <c r="E13" s="8">
        <v>0</v>
      </c>
      <c r="F13" s="8">
        <v>65666.53999999999</v>
      </c>
      <c r="G13" s="9">
        <v>1</v>
      </c>
    </row>
    <row r="14" spans="1:7">
      <c r="A14" t="s">
        <v>69</v>
      </c>
      <c r="B14" t="s">
        <v>57</v>
      </c>
      <c r="C14">
        <v>6400</v>
      </c>
      <c r="D14" s="8">
        <v>14189.57</v>
      </c>
      <c r="E14" s="8">
        <v>10117.92</v>
      </c>
      <c r="F14" s="8">
        <v>4071.65</v>
      </c>
      <c r="G14" s="9">
        <v>0.2869466798500588</v>
      </c>
    </row>
    <row r="15" spans="1:7">
      <c r="A15" t="s">
        <v>69</v>
      </c>
      <c r="B15" t="s">
        <v>57</v>
      </c>
      <c r="C15">
        <v>6500</v>
      </c>
      <c r="D15" s="8">
        <v>75671.05</v>
      </c>
      <c r="E15" s="8">
        <v>29758.23</v>
      </c>
      <c r="F15" s="8">
        <v>45912.82</v>
      </c>
      <c r="G15" s="9">
        <v>0.6067422085460688</v>
      </c>
    </row>
    <row r="16" spans="1:7">
      <c r="A16" t="s">
        <v>69</v>
      </c>
      <c r="B16" t="s">
        <v>56</v>
      </c>
      <c r="C16">
        <v>5000</v>
      </c>
      <c r="D16" s="8">
        <v>8797.83</v>
      </c>
      <c r="E16" s="8">
        <v>23364.32</v>
      </c>
      <c r="F16" s="8">
        <v>-14566.49</v>
      </c>
      <c r="G16" s="9">
        <v>-1.655691232951762</v>
      </c>
    </row>
    <row r="17" spans="1:7">
      <c r="A17" t="s">
        <v>69</v>
      </c>
      <c r="B17" t="s">
        <v>56</v>
      </c>
      <c r="C17">
        <v>6100</v>
      </c>
      <c r="D17" s="8">
        <v>74309.88</v>
      </c>
      <c r="E17" s="8">
        <v>27816.14</v>
      </c>
      <c r="F17" s="8">
        <v>46493.74000000001</v>
      </c>
      <c r="G17" s="9">
        <v>0.6256737327526299</v>
      </c>
    </row>
    <row r="18" spans="1:7">
      <c r="A18" t="s">
        <v>69</v>
      </c>
      <c r="B18" t="s">
        <v>56</v>
      </c>
      <c r="C18">
        <v>6200</v>
      </c>
      <c r="D18" s="8">
        <v>37486.73</v>
      </c>
      <c r="E18" s="8">
        <v>28389.82</v>
      </c>
      <c r="F18" s="8">
        <v>9096.910000000007</v>
      </c>
      <c r="G18" s="9">
        <v>0.2426701395400454</v>
      </c>
    </row>
    <row r="19" spans="1:7">
      <c r="A19" t="s">
        <v>69</v>
      </c>
      <c r="B19" t="s">
        <v>56</v>
      </c>
      <c r="C19">
        <v>6300</v>
      </c>
      <c r="D19" s="8">
        <v>59332.31</v>
      </c>
      <c r="E19" s="8">
        <v>19109.61</v>
      </c>
      <c r="F19" s="8">
        <v>40222.7</v>
      </c>
      <c r="G19" s="9">
        <v>0.6779223664138477</v>
      </c>
    </row>
    <row r="20" spans="1:7">
      <c r="A20" t="s">
        <v>69</v>
      </c>
      <c r="B20" t="s">
        <v>56</v>
      </c>
      <c r="C20">
        <v>6400</v>
      </c>
      <c r="D20" s="8">
        <v>42209.48</v>
      </c>
      <c r="E20" s="8">
        <v>11616.23</v>
      </c>
      <c r="F20" s="8">
        <v>30593.25</v>
      </c>
      <c r="G20" s="9">
        <v>0.7247957093998789</v>
      </c>
    </row>
    <row r="21" spans="1:7">
      <c r="A21" t="s">
        <v>69</v>
      </c>
      <c r="B21" t="s">
        <v>56</v>
      </c>
      <c r="C21">
        <v>6500</v>
      </c>
      <c r="D21" s="8">
        <v>33704.71</v>
      </c>
      <c r="E21" s="8">
        <v>9204.129999999999</v>
      </c>
      <c r="F21" s="8">
        <v>24500.58</v>
      </c>
      <c r="G21" s="9">
        <v>0.7269185820023374</v>
      </c>
    </row>
    <row r="22" spans="1:7">
      <c r="A22" t="s">
        <v>69</v>
      </c>
      <c r="B22" t="s">
        <v>81</v>
      </c>
      <c r="C22">
        <v>5000</v>
      </c>
      <c r="D22" s="8">
        <v>36999.8</v>
      </c>
      <c r="E22" s="8">
        <v>13637.59</v>
      </c>
      <c r="F22" s="8">
        <v>23362.21</v>
      </c>
      <c r="G22" s="9">
        <v>0.6314144941324007</v>
      </c>
    </row>
    <row r="23" spans="1:7">
      <c r="A23" t="s">
        <v>69</v>
      </c>
      <c r="B23" t="s">
        <v>81</v>
      </c>
      <c r="C23">
        <v>6100</v>
      </c>
      <c r="D23" s="8">
        <v>31545.74</v>
      </c>
      <c r="E23" s="8">
        <v>0</v>
      </c>
      <c r="F23" s="8">
        <v>31545.74</v>
      </c>
      <c r="G23" s="9">
        <v>1</v>
      </c>
    </row>
    <row r="24" spans="1:7">
      <c r="A24" t="s">
        <v>69</v>
      </c>
      <c r="B24" t="s">
        <v>81</v>
      </c>
      <c r="C24">
        <v>6200</v>
      </c>
      <c r="D24" s="8">
        <v>73122.82000000001</v>
      </c>
      <c r="E24" s="8">
        <v>41952.47</v>
      </c>
      <c r="F24" s="8">
        <v>31170.35000000001</v>
      </c>
      <c r="G24" s="9">
        <v>0.4262739046442684</v>
      </c>
    </row>
    <row r="25" spans="1:7">
      <c r="A25" t="s">
        <v>69</v>
      </c>
      <c r="B25" t="s">
        <v>81</v>
      </c>
      <c r="C25">
        <v>6300</v>
      </c>
      <c r="D25" s="8">
        <v>25623.63</v>
      </c>
      <c r="E25" s="8">
        <v>5709.35</v>
      </c>
      <c r="F25" s="8">
        <v>19914.28</v>
      </c>
      <c r="G25" s="9">
        <v>0.7771841850666747</v>
      </c>
    </row>
    <row r="26" spans="1:7">
      <c r="A26" t="s">
        <v>69</v>
      </c>
      <c r="B26" t="s">
        <v>81</v>
      </c>
      <c r="C26">
        <v>6400</v>
      </c>
      <c r="D26" s="8">
        <v>38450.86</v>
      </c>
      <c r="E26" s="8">
        <v>19518.02</v>
      </c>
      <c r="F26" s="8">
        <v>18932.84</v>
      </c>
      <c r="G26" s="9">
        <v>0.4923905473115556</v>
      </c>
    </row>
    <row r="27" spans="1:7">
      <c r="A27" t="s">
        <v>69</v>
      </c>
      <c r="B27" t="s">
        <v>81</v>
      </c>
      <c r="C27">
        <v>6500</v>
      </c>
      <c r="D27" s="8">
        <v>16147.36</v>
      </c>
      <c r="E27" s="8">
        <v>0</v>
      </c>
      <c r="F27" s="8">
        <v>16147.36</v>
      </c>
      <c r="G27" s="9">
        <v>1</v>
      </c>
    </row>
    <row r="28" spans="1:7">
      <c r="A28" t="s">
        <v>69</v>
      </c>
      <c r="B28" t="s">
        <v>82</v>
      </c>
      <c r="C28">
        <v>5000</v>
      </c>
      <c r="D28" s="8">
        <v>51057.99</v>
      </c>
      <c r="E28" s="8">
        <v>31858.15</v>
      </c>
      <c r="F28" s="8">
        <v>19199.84</v>
      </c>
      <c r="G28" s="9">
        <v>0.3760398715264741</v>
      </c>
    </row>
    <row r="29" spans="1:7">
      <c r="A29" t="s">
        <v>69</v>
      </c>
      <c r="B29" t="s">
        <v>82</v>
      </c>
      <c r="C29">
        <v>6100</v>
      </c>
      <c r="D29" s="8">
        <v>51273.29</v>
      </c>
      <c r="E29" s="8">
        <v>9921.66</v>
      </c>
      <c r="F29" s="8">
        <v>41351.63</v>
      </c>
      <c r="G29" s="9">
        <v>0.8064945705649083</v>
      </c>
    </row>
    <row r="30" spans="1:7">
      <c r="A30" t="s">
        <v>69</v>
      </c>
      <c r="B30" t="s">
        <v>82</v>
      </c>
      <c r="C30">
        <v>6200</v>
      </c>
      <c r="D30" s="8">
        <v>53545.88</v>
      </c>
      <c r="E30" s="8">
        <v>67595.87</v>
      </c>
      <c r="F30" s="8">
        <v>-14049.99</v>
      </c>
      <c r="G30" s="9">
        <v>-0.2623916163110962</v>
      </c>
    </row>
    <row r="31" spans="1:7">
      <c r="A31" t="s">
        <v>69</v>
      </c>
      <c r="B31" t="s">
        <v>82</v>
      </c>
      <c r="C31">
        <v>6300</v>
      </c>
      <c r="D31" s="8">
        <v>42416.87</v>
      </c>
      <c r="E31" s="8">
        <v>42486.09</v>
      </c>
      <c r="F31" s="8">
        <v>-69.22000000000116</v>
      </c>
      <c r="G31" s="9">
        <v>-0.001631897874595678</v>
      </c>
    </row>
    <row r="32" spans="1:7">
      <c r="A32" t="s">
        <v>69</v>
      </c>
      <c r="B32" t="s">
        <v>82</v>
      </c>
      <c r="C32">
        <v>6400</v>
      </c>
      <c r="D32" s="8">
        <v>71208.39</v>
      </c>
      <c r="E32" s="8">
        <v>29904</v>
      </c>
      <c r="F32" s="8">
        <v>41304.39</v>
      </c>
      <c r="G32" s="9">
        <v>0.5800494857417785</v>
      </c>
    </row>
    <row r="33" spans="1:7">
      <c r="A33" t="s">
        <v>69</v>
      </c>
      <c r="B33" t="s">
        <v>82</v>
      </c>
      <c r="C33">
        <v>6500</v>
      </c>
      <c r="D33" s="8">
        <v>40927.32</v>
      </c>
      <c r="E33" s="8">
        <v>22045.95</v>
      </c>
      <c r="F33" s="8">
        <v>18881.37</v>
      </c>
      <c r="G33" s="9">
        <v>0.461339027329422</v>
      </c>
    </row>
    <row r="34" spans="1:7">
      <c r="A34" t="s">
        <v>70</v>
      </c>
      <c r="B34" t="s">
        <v>55</v>
      </c>
      <c r="C34">
        <v>5000</v>
      </c>
      <c r="D34" s="8">
        <v>11579.12</v>
      </c>
      <c r="E34" s="8">
        <v>65503.8</v>
      </c>
      <c r="F34" s="8">
        <v>-53924.68</v>
      </c>
      <c r="G34" s="9">
        <v>-4.657062021984399</v>
      </c>
    </row>
    <row r="35" spans="1:7">
      <c r="A35" t="s">
        <v>70</v>
      </c>
      <c r="B35" t="s">
        <v>55</v>
      </c>
      <c r="C35">
        <v>6100</v>
      </c>
      <c r="D35" s="8">
        <v>33726.15</v>
      </c>
      <c r="E35" s="8">
        <v>41706.08</v>
      </c>
      <c r="F35" s="8">
        <v>-7979.93</v>
      </c>
      <c r="G35" s="9">
        <v>-0.2366095744696623</v>
      </c>
    </row>
    <row r="36" spans="1:7">
      <c r="A36" t="s">
        <v>70</v>
      </c>
      <c r="B36" t="s">
        <v>55</v>
      </c>
      <c r="C36">
        <v>6200</v>
      </c>
      <c r="D36" s="8">
        <v>36442.61</v>
      </c>
      <c r="E36" s="8">
        <v>33554.82</v>
      </c>
      <c r="F36" s="8">
        <v>2887.790000000001</v>
      </c>
      <c r="G36" s="9">
        <v>0.07924212892545295</v>
      </c>
    </row>
    <row r="37" spans="1:7">
      <c r="A37" t="s">
        <v>70</v>
      </c>
      <c r="B37" t="s">
        <v>55</v>
      </c>
      <c r="C37">
        <v>6300</v>
      </c>
      <c r="D37" s="8">
        <v>53198.94</v>
      </c>
      <c r="E37" s="8">
        <v>4533.61</v>
      </c>
      <c r="F37" s="8">
        <v>48665.33</v>
      </c>
      <c r="G37" s="9">
        <v>0.9147800689261854</v>
      </c>
    </row>
    <row r="38" spans="1:7">
      <c r="A38" t="s">
        <v>70</v>
      </c>
      <c r="B38" t="s">
        <v>55</v>
      </c>
      <c r="C38">
        <v>6400</v>
      </c>
      <c r="D38" s="8">
        <v>64789.85</v>
      </c>
      <c r="E38" s="8">
        <v>21561.07</v>
      </c>
      <c r="F38" s="8">
        <v>43228.78</v>
      </c>
      <c r="G38" s="9">
        <v>0.6672153122749936</v>
      </c>
    </row>
    <row r="39" spans="1:7">
      <c r="A39" t="s">
        <v>70</v>
      </c>
      <c r="B39" t="s">
        <v>55</v>
      </c>
      <c r="C39">
        <v>6500</v>
      </c>
      <c r="D39" s="8">
        <v>23686.08</v>
      </c>
      <c r="E39" s="8">
        <v>12750.78</v>
      </c>
      <c r="F39" s="8">
        <v>10935.3</v>
      </c>
      <c r="G39" s="9">
        <v>0.4616762250233049</v>
      </c>
    </row>
    <row r="40" spans="1:7">
      <c r="A40" t="s">
        <v>70</v>
      </c>
      <c r="B40" t="s">
        <v>57</v>
      </c>
      <c r="C40">
        <v>5000</v>
      </c>
      <c r="D40" s="8">
        <v>79556.55</v>
      </c>
      <c r="E40" s="8">
        <v>15962.02</v>
      </c>
      <c r="F40" s="8">
        <v>63594.53</v>
      </c>
      <c r="G40" s="9">
        <v>0.7993625917664856</v>
      </c>
    </row>
    <row r="41" spans="1:7">
      <c r="A41" t="s">
        <v>70</v>
      </c>
      <c r="B41" t="s">
        <v>57</v>
      </c>
      <c r="C41">
        <v>6100</v>
      </c>
      <c r="D41" s="8">
        <v>45774.25</v>
      </c>
      <c r="E41" s="8">
        <v>23195.99</v>
      </c>
      <c r="F41" s="8">
        <v>22578.26</v>
      </c>
      <c r="G41" s="9">
        <v>0.4932524290403447</v>
      </c>
    </row>
    <row r="42" spans="1:7">
      <c r="A42" t="s">
        <v>70</v>
      </c>
      <c r="B42" t="s">
        <v>57</v>
      </c>
      <c r="C42">
        <v>6200</v>
      </c>
      <c r="D42" s="8">
        <v>6464.75</v>
      </c>
      <c r="E42" s="8">
        <v>35927.24000000001</v>
      </c>
      <c r="F42" s="8">
        <v>-29462.49000000001</v>
      </c>
      <c r="G42" s="9">
        <v>-4.557405932170618</v>
      </c>
    </row>
    <row r="43" spans="1:7">
      <c r="A43" t="s">
        <v>70</v>
      </c>
      <c r="B43" t="s">
        <v>57</v>
      </c>
      <c r="C43">
        <v>6300</v>
      </c>
      <c r="D43" s="8">
        <v>33687.36</v>
      </c>
      <c r="E43" s="8">
        <v>12398.21</v>
      </c>
      <c r="F43" s="8">
        <v>21289.15</v>
      </c>
      <c r="G43" s="9">
        <v>0.6319625521263762</v>
      </c>
    </row>
    <row r="44" spans="1:7">
      <c r="A44" t="s">
        <v>70</v>
      </c>
      <c r="B44" t="s">
        <v>57</v>
      </c>
      <c r="C44">
        <v>6400</v>
      </c>
      <c r="D44" s="8">
        <v>58502.8</v>
      </c>
      <c r="E44" s="8">
        <v>23653.75</v>
      </c>
      <c r="F44" s="8">
        <v>34849.05</v>
      </c>
      <c r="G44" s="9">
        <v>0.5956817451472408</v>
      </c>
    </row>
    <row r="45" spans="1:7">
      <c r="A45" t="s">
        <v>70</v>
      </c>
      <c r="B45" t="s">
        <v>57</v>
      </c>
      <c r="C45">
        <v>6500</v>
      </c>
      <c r="D45" s="8">
        <v>40976.33</v>
      </c>
      <c r="E45" s="8">
        <v>39475.47</v>
      </c>
      <c r="F45" s="8">
        <v>1500.860000000001</v>
      </c>
      <c r="G45" s="9">
        <v>0.03662748713708623</v>
      </c>
    </row>
    <row r="46" spans="1:7">
      <c r="A46" t="s">
        <v>70</v>
      </c>
      <c r="B46" t="s">
        <v>56</v>
      </c>
      <c r="C46">
        <v>5000</v>
      </c>
      <c r="D46" s="8">
        <v>63607.63</v>
      </c>
      <c r="E46" s="8">
        <v>12871.07</v>
      </c>
      <c r="F46" s="8">
        <v>50736.56</v>
      </c>
      <c r="G46" s="9">
        <v>0.7976489612959955</v>
      </c>
    </row>
    <row r="47" spans="1:7">
      <c r="A47" t="s">
        <v>70</v>
      </c>
      <c r="B47" t="s">
        <v>56</v>
      </c>
      <c r="C47">
        <v>6100</v>
      </c>
      <c r="D47" s="8">
        <v>30802.56</v>
      </c>
      <c r="E47" s="8">
        <v>0</v>
      </c>
      <c r="F47" s="8">
        <v>30802.56</v>
      </c>
      <c r="G47" s="9">
        <v>1</v>
      </c>
    </row>
    <row r="48" spans="1:7">
      <c r="A48" t="s">
        <v>70</v>
      </c>
      <c r="B48" t="s">
        <v>56</v>
      </c>
      <c r="C48">
        <v>6200</v>
      </c>
      <c r="D48" s="8">
        <v>47423.83</v>
      </c>
      <c r="E48" s="8">
        <v>0</v>
      </c>
      <c r="F48" s="8">
        <v>47423.83</v>
      </c>
      <c r="G48" s="9">
        <v>1</v>
      </c>
    </row>
    <row r="49" spans="1:7">
      <c r="A49" t="s">
        <v>70</v>
      </c>
      <c r="B49" t="s">
        <v>56</v>
      </c>
      <c r="C49">
        <v>6300</v>
      </c>
      <c r="D49" s="8">
        <v>29120.33</v>
      </c>
      <c r="E49" s="8">
        <v>25153.91</v>
      </c>
      <c r="F49" s="8">
        <v>3966.420000000002</v>
      </c>
      <c r="G49" s="9">
        <v>0.1362079344567868</v>
      </c>
    </row>
    <row r="50" spans="1:7">
      <c r="A50" t="s">
        <v>70</v>
      </c>
      <c r="B50" t="s">
        <v>56</v>
      </c>
      <c r="C50">
        <v>6400</v>
      </c>
      <c r="D50" s="8">
        <v>25282.68</v>
      </c>
      <c r="E50" s="8">
        <v>5488.13</v>
      </c>
      <c r="F50" s="8">
        <v>19794.55</v>
      </c>
      <c r="G50" s="9">
        <v>0.7829292622459327</v>
      </c>
    </row>
    <row r="51" spans="1:7">
      <c r="A51" t="s">
        <v>70</v>
      </c>
      <c r="B51" t="s">
        <v>56</v>
      </c>
      <c r="C51">
        <v>6500</v>
      </c>
      <c r="D51" s="8">
        <v>6954.72</v>
      </c>
      <c r="E51" s="8">
        <v>20519.05</v>
      </c>
      <c r="F51" s="8">
        <v>-13564.33</v>
      </c>
      <c r="G51" s="9">
        <v>-1.950377585294591</v>
      </c>
    </row>
    <row r="52" spans="1:7">
      <c r="A52" t="s">
        <v>70</v>
      </c>
      <c r="B52" t="s">
        <v>81</v>
      </c>
      <c r="C52">
        <v>5000</v>
      </c>
      <c r="D52" s="8">
        <v>49783.73</v>
      </c>
      <c r="E52" s="8">
        <v>0</v>
      </c>
      <c r="F52" s="8">
        <v>49783.73</v>
      </c>
      <c r="G52" s="9">
        <v>1</v>
      </c>
    </row>
    <row r="53" spans="1:7">
      <c r="A53" t="s">
        <v>70</v>
      </c>
      <c r="B53" t="s">
        <v>81</v>
      </c>
      <c r="C53">
        <v>6100</v>
      </c>
      <c r="D53" s="8">
        <v>7197.76</v>
      </c>
      <c r="E53" s="8">
        <v>17478.27</v>
      </c>
      <c r="F53" s="8">
        <v>-10280.51</v>
      </c>
      <c r="G53" s="9">
        <v>-1.428292968923665</v>
      </c>
    </row>
    <row r="54" spans="1:7">
      <c r="A54" t="s">
        <v>70</v>
      </c>
      <c r="B54" t="s">
        <v>81</v>
      </c>
      <c r="C54">
        <v>6200</v>
      </c>
      <c r="D54" s="8">
        <v>65801.7</v>
      </c>
      <c r="E54" s="8">
        <v>26010.67</v>
      </c>
      <c r="F54" s="8">
        <v>39791.03</v>
      </c>
      <c r="G54" s="9">
        <v>0.6047112764563833</v>
      </c>
    </row>
    <row r="55" spans="1:7">
      <c r="A55" t="s">
        <v>70</v>
      </c>
      <c r="B55" t="s">
        <v>81</v>
      </c>
      <c r="C55">
        <v>6300</v>
      </c>
      <c r="D55" s="8">
        <v>26069.95</v>
      </c>
      <c r="E55" s="8">
        <v>6453.43</v>
      </c>
      <c r="F55" s="8">
        <v>19616.52</v>
      </c>
      <c r="G55" s="9">
        <v>0.7524571393500946</v>
      </c>
    </row>
    <row r="56" spans="1:7">
      <c r="A56" t="s">
        <v>70</v>
      </c>
      <c r="B56" t="s">
        <v>81</v>
      </c>
      <c r="C56">
        <v>6400</v>
      </c>
      <c r="D56" s="8">
        <v>65649.03999999999</v>
      </c>
      <c r="E56" s="8">
        <v>11940.95</v>
      </c>
      <c r="F56" s="8">
        <v>53708.09</v>
      </c>
      <c r="G56" s="9">
        <v>0.8181092975617008</v>
      </c>
    </row>
    <row r="57" spans="1:7">
      <c r="A57" t="s">
        <v>70</v>
      </c>
      <c r="B57" t="s">
        <v>81</v>
      </c>
      <c r="C57">
        <v>6500</v>
      </c>
      <c r="D57" s="8">
        <v>40376.33</v>
      </c>
      <c r="E57" s="8">
        <v>0</v>
      </c>
      <c r="F57" s="8">
        <v>40376.33</v>
      </c>
      <c r="G57" s="9">
        <v>1</v>
      </c>
    </row>
    <row r="58" spans="1:7">
      <c r="A58" t="s">
        <v>70</v>
      </c>
      <c r="B58" t="s">
        <v>82</v>
      </c>
      <c r="C58">
        <v>5000</v>
      </c>
      <c r="D58" s="8">
        <v>31807.47</v>
      </c>
      <c r="E58" s="8">
        <v>68423.59</v>
      </c>
      <c r="F58" s="8">
        <v>-36616.12</v>
      </c>
      <c r="G58" s="9">
        <v>-1.151179895791774</v>
      </c>
    </row>
    <row r="59" spans="1:7">
      <c r="A59" t="s">
        <v>70</v>
      </c>
      <c r="B59" t="s">
        <v>82</v>
      </c>
      <c r="C59">
        <v>6100</v>
      </c>
      <c r="D59" s="8">
        <v>48799.17</v>
      </c>
      <c r="E59" s="8">
        <v>32690.46</v>
      </c>
      <c r="F59" s="8">
        <v>16108.71</v>
      </c>
      <c r="G59" s="9">
        <v>0.330102130835422</v>
      </c>
    </row>
    <row r="60" spans="1:7">
      <c r="A60" t="s">
        <v>70</v>
      </c>
      <c r="B60" t="s">
        <v>82</v>
      </c>
      <c r="C60">
        <v>6200</v>
      </c>
      <c r="D60" s="8">
        <v>22457.16</v>
      </c>
      <c r="E60" s="8">
        <v>13672.04</v>
      </c>
      <c r="F60" s="8">
        <v>8785.119999999999</v>
      </c>
      <c r="G60" s="9">
        <v>0.3911946123196343</v>
      </c>
    </row>
    <row r="61" spans="1:7">
      <c r="A61" t="s">
        <v>70</v>
      </c>
      <c r="B61" t="s">
        <v>82</v>
      </c>
      <c r="C61">
        <v>6300</v>
      </c>
      <c r="D61" s="8">
        <v>16971.86</v>
      </c>
      <c r="E61" s="8">
        <v>0</v>
      </c>
      <c r="F61" s="8">
        <v>16971.86</v>
      </c>
      <c r="G61" s="9">
        <v>1</v>
      </c>
    </row>
    <row r="62" spans="1:7">
      <c r="A62" t="s">
        <v>70</v>
      </c>
      <c r="B62" t="s">
        <v>82</v>
      </c>
      <c r="C62">
        <v>6400</v>
      </c>
      <c r="D62" s="8">
        <v>23589.28</v>
      </c>
      <c r="E62" s="8">
        <v>56107.21000000001</v>
      </c>
      <c r="F62" s="8">
        <v>-32517.93000000001</v>
      </c>
      <c r="G62" s="9">
        <v>-1.378504558002619</v>
      </c>
    </row>
    <row r="63" spans="1:7">
      <c r="A63" t="s">
        <v>70</v>
      </c>
      <c r="B63" t="s">
        <v>82</v>
      </c>
      <c r="C63">
        <v>6500</v>
      </c>
      <c r="D63" s="8">
        <v>23086.46</v>
      </c>
      <c r="E63" s="8">
        <v>41799.87</v>
      </c>
      <c r="F63" s="8">
        <v>-18713.41</v>
      </c>
      <c r="G63" s="9">
        <v>-0.8105794478668451</v>
      </c>
    </row>
    <row r="64" spans="1:7">
      <c r="A64" t="s">
        <v>71</v>
      </c>
      <c r="B64" t="s">
        <v>55</v>
      </c>
      <c r="C64">
        <v>5000</v>
      </c>
      <c r="D64" s="8">
        <v>45026.72</v>
      </c>
      <c r="E64" s="8">
        <v>4115.5</v>
      </c>
      <c r="F64" s="8">
        <v>40911.22</v>
      </c>
      <c r="G64" s="9">
        <v>0.9085987164954498</v>
      </c>
    </row>
    <row r="65" spans="1:7">
      <c r="A65" t="s">
        <v>71</v>
      </c>
      <c r="B65" t="s">
        <v>55</v>
      </c>
      <c r="C65">
        <v>6100</v>
      </c>
      <c r="D65" s="8">
        <v>64342.79</v>
      </c>
      <c r="E65" s="8">
        <v>22094.7</v>
      </c>
      <c r="F65" s="8">
        <v>42248.09</v>
      </c>
      <c r="G65" s="9">
        <v>0.6566095439753233</v>
      </c>
    </row>
    <row r="66" spans="1:7">
      <c r="A66" t="s">
        <v>71</v>
      </c>
      <c r="B66" t="s">
        <v>55</v>
      </c>
      <c r="C66">
        <v>6200</v>
      </c>
      <c r="D66" s="8">
        <v>60279.51</v>
      </c>
      <c r="E66" s="8">
        <v>27659.47</v>
      </c>
      <c r="F66" s="8">
        <v>32620.04</v>
      </c>
      <c r="G66" s="9">
        <v>0.5411464028158158</v>
      </c>
    </row>
    <row r="67" spans="1:7">
      <c r="A67" t="s">
        <v>71</v>
      </c>
      <c r="B67" t="s">
        <v>55</v>
      </c>
      <c r="C67">
        <v>6300</v>
      </c>
      <c r="D67" s="8">
        <v>62303.73</v>
      </c>
      <c r="E67" s="8">
        <v>56430.62</v>
      </c>
      <c r="F67" s="8">
        <v>5873.110000000001</v>
      </c>
      <c r="G67" s="9">
        <v>0.09426578472910049</v>
      </c>
    </row>
    <row r="68" spans="1:7">
      <c r="A68" t="s">
        <v>71</v>
      </c>
      <c r="B68" t="s">
        <v>55</v>
      </c>
      <c r="C68">
        <v>6400</v>
      </c>
      <c r="D68" s="8">
        <v>76085.19</v>
      </c>
      <c r="E68" s="8">
        <v>17865.24</v>
      </c>
      <c r="F68" s="8">
        <v>58219.95</v>
      </c>
      <c r="G68" s="9">
        <v>0.7651942513385325</v>
      </c>
    </row>
    <row r="69" spans="1:7">
      <c r="A69" t="s">
        <v>71</v>
      </c>
      <c r="B69" t="s">
        <v>55</v>
      </c>
      <c r="C69">
        <v>6500</v>
      </c>
      <c r="D69" s="8">
        <v>48176.91</v>
      </c>
      <c r="E69" s="8">
        <v>16752.99</v>
      </c>
      <c r="F69" s="8">
        <v>31423.92</v>
      </c>
      <c r="G69" s="9">
        <v>0.6522610105131276</v>
      </c>
    </row>
    <row r="70" spans="1:7">
      <c r="A70" t="s">
        <v>71</v>
      </c>
      <c r="B70" t="s">
        <v>57</v>
      </c>
      <c r="C70">
        <v>5000</v>
      </c>
      <c r="D70" s="8">
        <v>78699.85000000001</v>
      </c>
      <c r="E70" s="8">
        <v>0</v>
      </c>
      <c r="F70" s="8">
        <v>78699.85000000001</v>
      </c>
      <c r="G70" s="9">
        <v>1</v>
      </c>
    </row>
    <row r="71" spans="1:7">
      <c r="A71" t="s">
        <v>71</v>
      </c>
      <c r="B71" t="s">
        <v>57</v>
      </c>
      <c r="C71">
        <v>6100</v>
      </c>
      <c r="D71" s="8">
        <v>34131.69</v>
      </c>
      <c r="E71" s="8">
        <v>41873.19</v>
      </c>
      <c r="F71" s="8">
        <v>-7741.5</v>
      </c>
      <c r="G71" s="9">
        <v>-0.2268126776025447</v>
      </c>
    </row>
    <row r="72" spans="1:7">
      <c r="A72" t="s">
        <v>71</v>
      </c>
      <c r="B72" t="s">
        <v>57</v>
      </c>
      <c r="C72">
        <v>6200</v>
      </c>
      <c r="D72" s="8">
        <v>75140.45</v>
      </c>
      <c r="E72" s="8">
        <v>57847.72</v>
      </c>
      <c r="F72" s="8">
        <v>17292.73</v>
      </c>
      <c r="G72" s="9">
        <v>0.2301387601484952</v>
      </c>
    </row>
    <row r="73" spans="1:7">
      <c r="A73" t="s">
        <v>71</v>
      </c>
      <c r="B73" t="s">
        <v>57</v>
      </c>
      <c r="C73">
        <v>6300</v>
      </c>
      <c r="D73" s="8">
        <v>79365.64</v>
      </c>
      <c r="E73" s="8">
        <v>1098.42</v>
      </c>
      <c r="F73" s="8">
        <v>78267.22</v>
      </c>
      <c r="G73" s="9">
        <v>0.9861600057657193</v>
      </c>
    </row>
    <row r="74" spans="1:7">
      <c r="A74" t="s">
        <v>71</v>
      </c>
      <c r="B74" t="s">
        <v>57</v>
      </c>
      <c r="C74">
        <v>6400</v>
      </c>
      <c r="D74" s="8">
        <v>18028.4</v>
      </c>
      <c r="E74" s="8">
        <v>0</v>
      </c>
      <c r="F74" s="8">
        <v>18028.4</v>
      </c>
      <c r="G74" s="9">
        <v>1</v>
      </c>
    </row>
    <row r="75" spans="1:7">
      <c r="A75" t="s">
        <v>71</v>
      </c>
      <c r="B75" t="s">
        <v>57</v>
      </c>
      <c r="C75">
        <v>6500</v>
      </c>
      <c r="D75" s="8">
        <v>22741.33</v>
      </c>
      <c r="E75" s="8">
        <v>0</v>
      </c>
      <c r="F75" s="8">
        <v>22741.33</v>
      </c>
      <c r="G75" s="9">
        <v>1</v>
      </c>
    </row>
    <row r="76" spans="1:7">
      <c r="A76" t="s">
        <v>71</v>
      </c>
      <c r="B76" t="s">
        <v>56</v>
      </c>
      <c r="C76">
        <v>5000</v>
      </c>
      <c r="D76" s="8">
        <v>28850.33</v>
      </c>
      <c r="E76" s="8">
        <v>40089.14</v>
      </c>
      <c r="F76" s="8">
        <v>-11238.81</v>
      </c>
      <c r="G76" s="9">
        <v>-0.3895556827252928</v>
      </c>
    </row>
    <row r="77" spans="1:7">
      <c r="A77" t="s">
        <v>71</v>
      </c>
      <c r="B77" t="s">
        <v>56</v>
      </c>
      <c r="C77">
        <v>6100</v>
      </c>
      <c r="D77" s="8">
        <v>60357.88</v>
      </c>
      <c r="E77" s="8">
        <v>23689.23</v>
      </c>
      <c r="F77" s="8">
        <v>36668.64999999999</v>
      </c>
      <c r="G77" s="9">
        <v>0.6075205093353179</v>
      </c>
    </row>
    <row r="78" spans="1:7">
      <c r="A78" t="s">
        <v>71</v>
      </c>
      <c r="B78" t="s">
        <v>56</v>
      </c>
      <c r="C78">
        <v>6200</v>
      </c>
      <c r="D78" s="8">
        <v>31908.73</v>
      </c>
      <c r="E78" s="8">
        <v>21676.65</v>
      </c>
      <c r="F78" s="8">
        <v>10232.08</v>
      </c>
      <c r="G78" s="9">
        <v>0.3206671027019878</v>
      </c>
    </row>
    <row r="79" spans="1:7">
      <c r="A79" t="s">
        <v>71</v>
      </c>
      <c r="B79" t="s">
        <v>56</v>
      </c>
      <c r="C79">
        <v>6300</v>
      </c>
      <c r="D79" s="8">
        <v>49367.19</v>
      </c>
      <c r="E79" s="8">
        <v>15855.34</v>
      </c>
      <c r="F79" s="8">
        <v>33511.85000000001</v>
      </c>
      <c r="G79" s="9">
        <v>0.6788283878422087</v>
      </c>
    </row>
    <row r="80" spans="1:7">
      <c r="A80" t="s">
        <v>71</v>
      </c>
      <c r="B80" t="s">
        <v>56</v>
      </c>
      <c r="C80">
        <v>6400</v>
      </c>
      <c r="D80" s="8">
        <v>57758.97</v>
      </c>
      <c r="E80" s="8">
        <v>37774.73</v>
      </c>
      <c r="F80" s="8">
        <v>19984.24000000001</v>
      </c>
      <c r="G80" s="9">
        <v>0.3459937045276258</v>
      </c>
    </row>
    <row r="81" spans="1:7">
      <c r="A81" t="s">
        <v>71</v>
      </c>
      <c r="B81" t="s">
        <v>56</v>
      </c>
      <c r="C81">
        <v>6500</v>
      </c>
      <c r="D81" s="8">
        <v>31376.16</v>
      </c>
      <c r="E81" s="8">
        <v>15116</v>
      </c>
      <c r="F81" s="8">
        <v>16260.16</v>
      </c>
      <c r="G81" s="9">
        <v>0.5182329513872953</v>
      </c>
    </row>
    <row r="82" spans="1:7">
      <c r="A82" t="s">
        <v>71</v>
      </c>
      <c r="B82" t="s">
        <v>81</v>
      </c>
      <c r="C82">
        <v>5000</v>
      </c>
      <c r="D82" s="8">
        <v>47573.85</v>
      </c>
      <c r="E82" s="8">
        <v>0</v>
      </c>
      <c r="F82" s="8">
        <v>47573.85</v>
      </c>
      <c r="G82" s="9">
        <v>1</v>
      </c>
    </row>
    <row r="83" spans="1:7">
      <c r="A83" t="s">
        <v>71</v>
      </c>
      <c r="B83" t="s">
        <v>81</v>
      </c>
      <c r="C83">
        <v>6100</v>
      </c>
      <c r="D83" s="8">
        <v>15657.67</v>
      </c>
      <c r="E83" s="8">
        <v>0</v>
      </c>
      <c r="F83" s="8">
        <v>15657.67</v>
      </c>
      <c r="G83" s="9">
        <v>1</v>
      </c>
    </row>
    <row r="84" spans="1:7">
      <c r="A84" t="s">
        <v>71</v>
      </c>
      <c r="B84" t="s">
        <v>81</v>
      </c>
      <c r="C84">
        <v>6200</v>
      </c>
      <c r="D84" s="8">
        <v>76127.64</v>
      </c>
      <c r="E84" s="8">
        <v>34984.84</v>
      </c>
      <c r="F84" s="8">
        <v>41142.8</v>
      </c>
      <c r="G84" s="9">
        <v>0.5404449684766269</v>
      </c>
    </row>
    <row r="85" spans="1:7">
      <c r="A85" t="s">
        <v>71</v>
      </c>
      <c r="B85" t="s">
        <v>81</v>
      </c>
      <c r="C85">
        <v>6300</v>
      </c>
      <c r="D85" s="8">
        <v>67752.25999999999</v>
      </c>
      <c r="E85" s="8">
        <v>57043.98</v>
      </c>
      <c r="F85" s="8">
        <v>10708.28</v>
      </c>
      <c r="G85" s="9">
        <v>0.1580505211191479</v>
      </c>
    </row>
    <row r="86" spans="1:7">
      <c r="A86" t="s">
        <v>71</v>
      </c>
      <c r="B86" t="s">
        <v>81</v>
      </c>
      <c r="C86">
        <v>6400</v>
      </c>
      <c r="D86" s="8">
        <v>65780.09</v>
      </c>
      <c r="E86" s="8">
        <v>52789.6</v>
      </c>
      <c r="F86" s="8">
        <v>12990.49</v>
      </c>
      <c r="G86" s="9">
        <v>0.1974836154830436</v>
      </c>
    </row>
    <row r="87" spans="1:7">
      <c r="A87" t="s">
        <v>71</v>
      </c>
      <c r="B87" t="s">
        <v>81</v>
      </c>
      <c r="C87">
        <v>6500</v>
      </c>
      <c r="D87" s="8">
        <v>77779.08</v>
      </c>
      <c r="E87" s="8">
        <v>43881.91</v>
      </c>
      <c r="F87" s="8">
        <v>33897.17</v>
      </c>
      <c r="G87" s="9">
        <v>0.435813460380349</v>
      </c>
    </row>
    <row r="88" spans="1:7">
      <c r="A88" t="s">
        <v>71</v>
      </c>
      <c r="B88" t="s">
        <v>82</v>
      </c>
      <c r="C88">
        <v>5000</v>
      </c>
      <c r="D88" s="8">
        <v>45659.35</v>
      </c>
      <c r="E88" s="8">
        <v>19524.53</v>
      </c>
      <c r="F88" s="8">
        <v>26134.82</v>
      </c>
      <c r="G88" s="9">
        <v>0.5723870357330973</v>
      </c>
    </row>
    <row r="89" spans="1:7">
      <c r="A89" t="s">
        <v>71</v>
      </c>
      <c r="B89" t="s">
        <v>82</v>
      </c>
      <c r="C89">
        <v>6100</v>
      </c>
      <c r="D89" s="8">
        <v>18166.76</v>
      </c>
      <c r="E89" s="8">
        <v>39791.96</v>
      </c>
      <c r="F89" s="8">
        <v>-21625.2</v>
      </c>
      <c r="G89" s="9">
        <v>-1.190371865979404</v>
      </c>
    </row>
    <row r="90" spans="1:7">
      <c r="A90" t="s">
        <v>71</v>
      </c>
      <c r="B90" t="s">
        <v>82</v>
      </c>
      <c r="C90">
        <v>6200</v>
      </c>
      <c r="D90" s="8">
        <v>7847.28</v>
      </c>
      <c r="E90" s="8">
        <v>12980.44</v>
      </c>
      <c r="F90" s="8">
        <v>-5133.160000000001</v>
      </c>
      <c r="G90" s="9">
        <v>-0.6541323872730425</v>
      </c>
    </row>
    <row r="91" spans="1:7">
      <c r="A91" t="s">
        <v>71</v>
      </c>
      <c r="B91" t="s">
        <v>82</v>
      </c>
      <c r="C91">
        <v>6300</v>
      </c>
      <c r="D91" s="8">
        <v>9212.6</v>
      </c>
      <c r="E91" s="8">
        <v>5861.61</v>
      </c>
      <c r="F91" s="8">
        <v>3350.990000000001</v>
      </c>
      <c r="G91" s="9">
        <v>0.3637398779931833</v>
      </c>
    </row>
    <row r="92" spans="1:7">
      <c r="A92" t="s">
        <v>71</v>
      </c>
      <c r="B92" t="s">
        <v>82</v>
      </c>
      <c r="C92">
        <v>6400</v>
      </c>
      <c r="D92" s="8">
        <v>50124.71</v>
      </c>
      <c r="E92" s="8">
        <v>48402.93</v>
      </c>
      <c r="F92" s="8">
        <v>1721.779999999999</v>
      </c>
      <c r="G92" s="9">
        <v>0.03434992441851532</v>
      </c>
    </row>
    <row r="93" spans="1:7">
      <c r="A93" t="s">
        <v>71</v>
      </c>
      <c r="B93" t="s">
        <v>82</v>
      </c>
      <c r="C93">
        <v>6500</v>
      </c>
      <c r="D93" s="8">
        <v>6494.6</v>
      </c>
      <c r="E93" s="8">
        <v>0</v>
      </c>
      <c r="F93" s="8">
        <v>6494.6</v>
      </c>
      <c r="G93" s="9">
        <v>1</v>
      </c>
    </row>
    <row r="94" spans="1:7">
      <c r="A94" t="s">
        <v>72</v>
      </c>
      <c r="B94" t="s">
        <v>55</v>
      </c>
      <c r="C94">
        <v>5000</v>
      </c>
      <c r="D94" s="8">
        <v>40849.17</v>
      </c>
      <c r="E94" s="8">
        <v>16428.53</v>
      </c>
      <c r="F94" s="8">
        <v>24420.64</v>
      </c>
      <c r="G94" s="9">
        <v>0.59782463144294</v>
      </c>
    </row>
    <row r="95" spans="1:7">
      <c r="A95" t="s">
        <v>72</v>
      </c>
      <c r="B95" t="s">
        <v>55</v>
      </c>
      <c r="C95">
        <v>6100</v>
      </c>
      <c r="D95" s="8">
        <v>29880.05</v>
      </c>
      <c r="E95" s="8">
        <v>15377.56</v>
      </c>
      <c r="F95" s="8">
        <v>14502.49</v>
      </c>
      <c r="G95" s="9">
        <v>0.4853569522139354</v>
      </c>
    </row>
    <row r="96" spans="1:7">
      <c r="A96" t="s">
        <v>72</v>
      </c>
      <c r="B96" t="s">
        <v>55</v>
      </c>
      <c r="C96">
        <v>6200</v>
      </c>
      <c r="D96" s="8">
        <v>51060.11</v>
      </c>
      <c r="E96" s="8">
        <v>21999.51</v>
      </c>
      <c r="F96" s="8">
        <v>29060.6</v>
      </c>
      <c r="G96" s="9">
        <v>0.5691448764994826</v>
      </c>
    </row>
    <row r="97" spans="1:7">
      <c r="A97" t="s">
        <v>72</v>
      </c>
      <c r="B97" t="s">
        <v>55</v>
      </c>
      <c r="C97">
        <v>6300</v>
      </c>
      <c r="D97" s="8">
        <v>65483.41</v>
      </c>
      <c r="E97" s="8">
        <v>23045.46</v>
      </c>
      <c r="F97" s="8">
        <v>42437.95</v>
      </c>
      <c r="G97" s="9">
        <v>0.6480717787909945</v>
      </c>
    </row>
    <row r="98" spans="1:7">
      <c r="A98" t="s">
        <v>72</v>
      </c>
      <c r="B98" t="s">
        <v>55</v>
      </c>
      <c r="C98">
        <v>6400</v>
      </c>
      <c r="D98" s="8">
        <v>30556.93</v>
      </c>
      <c r="E98" s="8">
        <v>29062.86</v>
      </c>
      <c r="F98" s="8">
        <v>1494.07</v>
      </c>
      <c r="G98" s="9">
        <v>0.04889463699396503</v>
      </c>
    </row>
    <row r="99" spans="1:7">
      <c r="A99" t="s">
        <v>72</v>
      </c>
      <c r="B99" t="s">
        <v>55</v>
      </c>
      <c r="C99">
        <v>6500</v>
      </c>
      <c r="D99" s="8">
        <v>18309.49</v>
      </c>
      <c r="E99" s="8">
        <v>16743.49</v>
      </c>
      <c r="F99" s="8">
        <v>1566</v>
      </c>
      <c r="G99" s="9">
        <v>0.08552941671231694</v>
      </c>
    </row>
    <row r="100" spans="1:7">
      <c r="A100" t="s">
        <v>72</v>
      </c>
      <c r="B100" t="s">
        <v>57</v>
      </c>
      <c r="C100">
        <v>5000</v>
      </c>
      <c r="D100" s="8">
        <v>65181.83</v>
      </c>
      <c r="E100" s="8">
        <v>13157.37</v>
      </c>
      <c r="F100" s="8">
        <v>52024.46</v>
      </c>
      <c r="G100" s="9">
        <v>0.7981435930841463</v>
      </c>
    </row>
    <row r="101" spans="1:7">
      <c r="A101" t="s">
        <v>72</v>
      </c>
      <c r="B101" t="s">
        <v>57</v>
      </c>
      <c r="C101">
        <v>6100</v>
      </c>
      <c r="D101" s="8">
        <v>70116.28</v>
      </c>
      <c r="E101" s="8">
        <v>13628.67</v>
      </c>
      <c r="F101" s="8">
        <v>56487.61</v>
      </c>
      <c r="G101" s="9">
        <v>0.8056275946185394</v>
      </c>
    </row>
    <row r="102" spans="1:7">
      <c r="A102" t="s">
        <v>72</v>
      </c>
      <c r="B102" t="s">
        <v>57</v>
      </c>
      <c r="C102">
        <v>6200</v>
      </c>
      <c r="D102" s="8">
        <v>9466.700000000001</v>
      </c>
      <c r="E102" s="8">
        <v>0</v>
      </c>
      <c r="F102" s="8">
        <v>9466.700000000001</v>
      </c>
      <c r="G102" s="9">
        <v>1</v>
      </c>
    </row>
    <row r="103" spans="1:7">
      <c r="A103" t="s">
        <v>72</v>
      </c>
      <c r="B103" t="s">
        <v>57</v>
      </c>
      <c r="C103">
        <v>6300</v>
      </c>
      <c r="D103" s="8">
        <v>16078.4</v>
      </c>
      <c r="E103" s="8">
        <v>17097.06</v>
      </c>
      <c r="F103" s="8">
        <v>-1018.660000000002</v>
      </c>
      <c r="G103" s="9">
        <v>-0.06335580654791532</v>
      </c>
    </row>
    <row r="104" spans="1:7">
      <c r="A104" t="s">
        <v>72</v>
      </c>
      <c r="B104" t="s">
        <v>57</v>
      </c>
      <c r="C104">
        <v>6400</v>
      </c>
      <c r="D104" s="8">
        <v>57852.23</v>
      </c>
      <c r="E104" s="8">
        <v>21092.39</v>
      </c>
      <c r="F104" s="8">
        <v>36759.84</v>
      </c>
      <c r="G104" s="9">
        <v>0.635409214130553</v>
      </c>
    </row>
    <row r="105" spans="1:7">
      <c r="A105" t="s">
        <v>72</v>
      </c>
      <c r="B105" t="s">
        <v>57</v>
      </c>
      <c r="C105">
        <v>6500</v>
      </c>
      <c r="D105" s="8">
        <v>15623.95</v>
      </c>
      <c r="E105" s="8">
        <v>0</v>
      </c>
      <c r="F105" s="8">
        <v>15623.95</v>
      </c>
      <c r="G105" s="9">
        <v>1</v>
      </c>
    </row>
    <row r="106" spans="1:7">
      <c r="A106" t="s">
        <v>72</v>
      </c>
      <c r="B106" t="s">
        <v>56</v>
      </c>
      <c r="C106">
        <v>5000</v>
      </c>
      <c r="D106" s="8">
        <v>13319.04</v>
      </c>
      <c r="E106" s="8">
        <v>31723.73</v>
      </c>
      <c r="F106" s="8">
        <v>-18404.69</v>
      </c>
      <c r="G106" s="9">
        <v>-1.381833075056461</v>
      </c>
    </row>
    <row r="107" spans="1:7">
      <c r="A107" t="s">
        <v>72</v>
      </c>
      <c r="B107" t="s">
        <v>56</v>
      </c>
      <c r="C107">
        <v>6100</v>
      </c>
      <c r="D107" s="8">
        <v>44472.12</v>
      </c>
      <c r="E107" s="8">
        <v>48415.39</v>
      </c>
      <c r="F107" s="8">
        <v>-3943.269999999997</v>
      </c>
      <c r="G107" s="9">
        <v>-0.08866836121147353</v>
      </c>
    </row>
    <row r="108" spans="1:7">
      <c r="A108" t="s">
        <v>72</v>
      </c>
      <c r="B108" t="s">
        <v>56</v>
      </c>
      <c r="C108">
        <v>6200</v>
      </c>
      <c r="D108" s="8">
        <v>32366.74</v>
      </c>
      <c r="E108" s="8">
        <v>17882.94</v>
      </c>
      <c r="F108" s="8">
        <v>14483.8</v>
      </c>
      <c r="G108" s="9">
        <v>0.4474902322569403</v>
      </c>
    </row>
    <row r="109" spans="1:7">
      <c r="A109" t="s">
        <v>72</v>
      </c>
      <c r="B109" t="s">
        <v>56</v>
      </c>
      <c r="C109">
        <v>6300</v>
      </c>
      <c r="D109" s="8">
        <v>10439.87</v>
      </c>
      <c r="E109" s="8">
        <v>14060.09</v>
      </c>
      <c r="F109" s="8">
        <v>-3620.219999999999</v>
      </c>
      <c r="G109" s="9">
        <v>-0.3467686858169689</v>
      </c>
    </row>
    <row r="110" spans="1:7">
      <c r="A110" t="s">
        <v>72</v>
      </c>
      <c r="B110" t="s">
        <v>56</v>
      </c>
      <c r="C110">
        <v>6400</v>
      </c>
      <c r="D110" s="8">
        <v>57840.35</v>
      </c>
      <c r="E110" s="8">
        <v>35350.64</v>
      </c>
      <c r="F110" s="8">
        <v>22489.71</v>
      </c>
      <c r="G110" s="9">
        <v>0.388823891971608</v>
      </c>
    </row>
    <row r="111" spans="1:7">
      <c r="A111" t="s">
        <v>72</v>
      </c>
      <c r="B111" t="s">
        <v>56</v>
      </c>
      <c r="C111">
        <v>6500</v>
      </c>
      <c r="D111" s="8">
        <v>54660.47</v>
      </c>
      <c r="E111" s="8">
        <v>42115.84</v>
      </c>
      <c r="F111" s="8">
        <v>12544.63</v>
      </c>
      <c r="G111" s="9">
        <v>0.2295009537971407</v>
      </c>
    </row>
    <row r="112" spans="1:7">
      <c r="A112" t="s">
        <v>72</v>
      </c>
      <c r="B112" t="s">
        <v>81</v>
      </c>
      <c r="C112">
        <v>5000</v>
      </c>
      <c r="D112" s="8">
        <v>48951.25</v>
      </c>
      <c r="E112" s="8">
        <v>0</v>
      </c>
      <c r="F112" s="8">
        <v>48951.25</v>
      </c>
      <c r="G112" s="9">
        <v>1</v>
      </c>
    </row>
    <row r="113" spans="1:7">
      <c r="A113" t="s">
        <v>72</v>
      </c>
      <c r="B113" t="s">
        <v>81</v>
      </c>
      <c r="C113">
        <v>6100</v>
      </c>
      <c r="D113" s="8">
        <v>30242.08</v>
      </c>
      <c r="E113" s="8">
        <v>28987.44</v>
      </c>
      <c r="F113" s="8">
        <v>1254.639999999999</v>
      </c>
      <c r="G113" s="9">
        <v>0.04148656441620416</v>
      </c>
    </row>
    <row r="114" spans="1:7">
      <c r="A114" t="s">
        <v>72</v>
      </c>
      <c r="B114" t="s">
        <v>81</v>
      </c>
      <c r="C114">
        <v>6200</v>
      </c>
      <c r="D114" s="8">
        <v>29195.24</v>
      </c>
      <c r="E114" s="8">
        <v>22969.04</v>
      </c>
      <c r="F114" s="8">
        <v>6226.200000000001</v>
      </c>
      <c r="G114" s="9">
        <v>0.2132607918277089</v>
      </c>
    </row>
    <row r="115" spans="1:7">
      <c r="A115" t="s">
        <v>72</v>
      </c>
      <c r="B115" t="s">
        <v>81</v>
      </c>
      <c r="C115">
        <v>6300</v>
      </c>
      <c r="D115" s="8">
        <v>78189.55</v>
      </c>
      <c r="E115" s="8">
        <v>65436.93</v>
      </c>
      <c r="F115" s="8">
        <v>12752.62</v>
      </c>
      <c r="G115" s="9">
        <v>0.1630987772662715</v>
      </c>
    </row>
    <row r="116" spans="1:7">
      <c r="A116" t="s">
        <v>72</v>
      </c>
      <c r="B116" t="s">
        <v>81</v>
      </c>
      <c r="C116">
        <v>6400</v>
      </c>
      <c r="D116" s="8">
        <v>59926.4</v>
      </c>
      <c r="E116" s="8">
        <v>40711.98</v>
      </c>
      <c r="F116" s="8">
        <v>19214.42</v>
      </c>
      <c r="G116" s="9">
        <v>0.3206336439365621</v>
      </c>
    </row>
    <row r="117" spans="1:7">
      <c r="A117" t="s">
        <v>72</v>
      </c>
      <c r="B117" t="s">
        <v>81</v>
      </c>
      <c r="C117">
        <v>6500</v>
      </c>
      <c r="D117" s="8">
        <v>37765.13</v>
      </c>
      <c r="E117" s="8">
        <v>16371.35</v>
      </c>
      <c r="F117" s="8">
        <v>21393.78</v>
      </c>
      <c r="G117" s="9">
        <v>0.5664956005712147</v>
      </c>
    </row>
    <row r="118" spans="1:7">
      <c r="A118" t="s">
        <v>72</v>
      </c>
      <c r="B118" t="s">
        <v>82</v>
      </c>
      <c r="C118">
        <v>5000</v>
      </c>
      <c r="D118" s="8">
        <v>52944.95</v>
      </c>
      <c r="E118" s="8">
        <v>20235.44</v>
      </c>
      <c r="F118" s="8">
        <v>32709.51</v>
      </c>
      <c r="G118" s="9">
        <v>0.6178022644274855</v>
      </c>
    </row>
    <row r="119" spans="1:7">
      <c r="A119" t="s">
        <v>72</v>
      </c>
      <c r="B119" t="s">
        <v>82</v>
      </c>
      <c r="C119">
        <v>6100</v>
      </c>
      <c r="D119" s="8">
        <v>41540</v>
      </c>
      <c r="E119" s="8">
        <v>18498.53</v>
      </c>
      <c r="F119" s="8">
        <v>23041.47</v>
      </c>
      <c r="G119" s="9">
        <v>0.5546815117958594</v>
      </c>
    </row>
    <row r="120" spans="1:7">
      <c r="A120" t="s">
        <v>72</v>
      </c>
      <c r="B120" t="s">
        <v>82</v>
      </c>
      <c r="C120">
        <v>6200</v>
      </c>
      <c r="D120" s="8">
        <v>28796.25</v>
      </c>
      <c r="E120" s="8">
        <v>6460.98</v>
      </c>
      <c r="F120" s="8">
        <v>22335.27</v>
      </c>
      <c r="G120" s="9">
        <v>0.7756312019794244</v>
      </c>
    </row>
    <row r="121" spans="1:7">
      <c r="A121" t="s">
        <v>72</v>
      </c>
      <c r="B121" t="s">
        <v>82</v>
      </c>
      <c r="C121">
        <v>6300</v>
      </c>
      <c r="D121" s="8">
        <v>58038.72</v>
      </c>
      <c r="E121" s="8">
        <v>0</v>
      </c>
      <c r="F121" s="8">
        <v>58038.72</v>
      </c>
      <c r="G121" s="9">
        <v>1</v>
      </c>
    </row>
    <row r="122" spans="1:7">
      <c r="A122" t="s">
        <v>72</v>
      </c>
      <c r="B122" t="s">
        <v>82</v>
      </c>
      <c r="C122">
        <v>6400</v>
      </c>
      <c r="D122" s="8">
        <v>47148.3</v>
      </c>
      <c r="E122" s="8">
        <v>24426.87</v>
      </c>
      <c r="F122" s="8">
        <v>22721.43</v>
      </c>
      <c r="G122" s="9">
        <v>0.4819140881007375</v>
      </c>
    </row>
    <row r="123" spans="1:7">
      <c r="A123" t="s">
        <v>72</v>
      </c>
      <c r="B123" t="s">
        <v>82</v>
      </c>
      <c r="C123">
        <v>6500</v>
      </c>
      <c r="D123" s="8">
        <v>71720.02</v>
      </c>
      <c r="E123" s="8">
        <v>5359.08</v>
      </c>
      <c r="F123" s="8">
        <v>66360.94</v>
      </c>
      <c r="G123" s="9">
        <v>0.9252777676302935</v>
      </c>
    </row>
    <row r="124" spans="1:7">
      <c r="A124" t="s">
        <v>73</v>
      </c>
      <c r="B124" t="s">
        <v>55</v>
      </c>
      <c r="C124">
        <v>5000</v>
      </c>
      <c r="D124" s="8">
        <v>51028.17</v>
      </c>
      <c r="E124" s="8">
        <v>0</v>
      </c>
      <c r="F124" s="8">
        <v>51028.17</v>
      </c>
      <c r="G124" s="9">
        <v>1</v>
      </c>
    </row>
    <row r="125" spans="1:7">
      <c r="A125" t="s">
        <v>73</v>
      </c>
      <c r="B125" t="s">
        <v>55</v>
      </c>
      <c r="C125">
        <v>6100</v>
      </c>
      <c r="D125" s="8">
        <v>31761.92</v>
      </c>
      <c r="E125" s="8">
        <v>27041.21</v>
      </c>
      <c r="F125" s="8">
        <v>4720.709999999999</v>
      </c>
      <c r="G125" s="9">
        <v>0.1486279796687354</v>
      </c>
    </row>
    <row r="126" spans="1:7">
      <c r="A126" t="s">
        <v>73</v>
      </c>
      <c r="B126" t="s">
        <v>55</v>
      </c>
      <c r="C126">
        <v>6200</v>
      </c>
      <c r="D126" s="8">
        <v>54914.88</v>
      </c>
      <c r="E126" s="8">
        <v>0</v>
      </c>
      <c r="F126" s="8">
        <v>54914.88</v>
      </c>
      <c r="G126" s="9">
        <v>1</v>
      </c>
    </row>
    <row r="127" spans="1:7">
      <c r="A127" t="s">
        <v>73</v>
      </c>
      <c r="B127" t="s">
        <v>55</v>
      </c>
      <c r="C127">
        <v>6300</v>
      </c>
      <c r="D127" s="8">
        <v>66084.07000000001</v>
      </c>
      <c r="E127" s="8">
        <v>0</v>
      </c>
      <c r="F127" s="8">
        <v>66084.07000000001</v>
      </c>
      <c r="G127" s="9">
        <v>1</v>
      </c>
    </row>
    <row r="128" spans="1:7">
      <c r="A128" t="s">
        <v>73</v>
      </c>
      <c r="B128" t="s">
        <v>55</v>
      </c>
      <c r="C128">
        <v>6400</v>
      </c>
      <c r="D128" s="8">
        <v>33378.81</v>
      </c>
      <c r="E128" s="8">
        <v>3013.4</v>
      </c>
      <c r="F128" s="8">
        <v>30365.41</v>
      </c>
      <c r="G128" s="9">
        <v>0.9097211674113007</v>
      </c>
    </row>
    <row r="129" spans="1:7">
      <c r="A129" t="s">
        <v>73</v>
      </c>
      <c r="B129" t="s">
        <v>55</v>
      </c>
      <c r="C129">
        <v>6500</v>
      </c>
      <c r="D129" s="8">
        <v>60049.62</v>
      </c>
      <c r="E129" s="8">
        <v>0</v>
      </c>
      <c r="F129" s="8">
        <v>60049.62</v>
      </c>
      <c r="G129" s="9">
        <v>1</v>
      </c>
    </row>
    <row r="130" spans="1:7">
      <c r="A130" t="s">
        <v>73</v>
      </c>
      <c r="B130" t="s">
        <v>57</v>
      </c>
      <c r="C130">
        <v>5000</v>
      </c>
      <c r="D130" s="8">
        <v>27088.79</v>
      </c>
      <c r="E130" s="8">
        <v>10495.77</v>
      </c>
      <c r="F130" s="8">
        <v>16593.02</v>
      </c>
      <c r="G130" s="9">
        <v>0.6125419407806698</v>
      </c>
    </row>
    <row r="131" spans="1:7">
      <c r="A131" t="s">
        <v>73</v>
      </c>
      <c r="B131" t="s">
        <v>57</v>
      </c>
      <c r="C131">
        <v>6100</v>
      </c>
      <c r="D131" s="8">
        <v>18328.12</v>
      </c>
      <c r="E131" s="8">
        <v>0</v>
      </c>
      <c r="F131" s="8">
        <v>18328.12</v>
      </c>
      <c r="G131" s="9">
        <v>1</v>
      </c>
    </row>
    <row r="132" spans="1:7">
      <c r="A132" t="s">
        <v>73</v>
      </c>
      <c r="B132" t="s">
        <v>57</v>
      </c>
      <c r="C132">
        <v>6200</v>
      </c>
      <c r="D132" s="8">
        <v>5134.84</v>
      </c>
      <c r="E132" s="8">
        <v>50719.41</v>
      </c>
      <c r="F132" s="8">
        <v>-45584.56999999999</v>
      </c>
      <c r="G132" s="9">
        <v>-8.877505433470175</v>
      </c>
    </row>
    <row r="133" spans="1:7">
      <c r="A133" t="s">
        <v>73</v>
      </c>
      <c r="B133" t="s">
        <v>57</v>
      </c>
      <c r="C133">
        <v>6300</v>
      </c>
      <c r="D133" s="8">
        <v>57650.63</v>
      </c>
      <c r="E133" s="8">
        <v>59598.14</v>
      </c>
      <c r="F133" s="8">
        <v>-1947.510000000002</v>
      </c>
      <c r="G133" s="9">
        <v>-0.03378124402109747</v>
      </c>
    </row>
    <row r="134" spans="1:7">
      <c r="A134" t="s">
        <v>73</v>
      </c>
      <c r="B134" t="s">
        <v>57</v>
      </c>
      <c r="C134">
        <v>6400</v>
      </c>
      <c r="D134" s="8">
        <v>47962.61</v>
      </c>
      <c r="E134" s="8">
        <v>19873.15</v>
      </c>
      <c r="F134" s="8">
        <v>28089.46</v>
      </c>
      <c r="G134" s="9">
        <v>0.5856532828384443</v>
      </c>
    </row>
    <row r="135" spans="1:7">
      <c r="A135" t="s">
        <v>73</v>
      </c>
      <c r="B135" t="s">
        <v>57</v>
      </c>
      <c r="C135">
        <v>6500</v>
      </c>
      <c r="D135" s="8">
        <v>68806.77</v>
      </c>
      <c r="E135" s="8">
        <v>14057.29</v>
      </c>
      <c r="F135" s="8">
        <v>54749.48</v>
      </c>
      <c r="G135" s="9">
        <v>0.7956990278718213</v>
      </c>
    </row>
    <row r="136" spans="1:7">
      <c r="A136" t="s">
        <v>73</v>
      </c>
      <c r="B136" t="s">
        <v>56</v>
      </c>
      <c r="C136">
        <v>5000</v>
      </c>
      <c r="D136" s="8">
        <v>62812.28</v>
      </c>
      <c r="E136" s="8">
        <v>43300.88</v>
      </c>
      <c r="F136" s="8">
        <v>19511.4</v>
      </c>
      <c r="G136" s="9">
        <v>0.3106303417102516</v>
      </c>
    </row>
    <row r="137" spans="1:7">
      <c r="A137" t="s">
        <v>73</v>
      </c>
      <c r="B137" t="s">
        <v>56</v>
      </c>
      <c r="C137">
        <v>6100</v>
      </c>
      <c r="D137" s="8">
        <v>47561.21</v>
      </c>
      <c r="E137" s="8">
        <v>16461.98</v>
      </c>
      <c r="F137" s="8">
        <v>31099.23</v>
      </c>
      <c r="G137" s="9">
        <v>0.6538780237088165</v>
      </c>
    </row>
    <row r="138" spans="1:7">
      <c r="A138" t="s">
        <v>73</v>
      </c>
      <c r="B138" t="s">
        <v>56</v>
      </c>
      <c r="C138">
        <v>6200</v>
      </c>
      <c r="D138" s="8">
        <v>18656.13</v>
      </c>
      <c r="E138" s="8">
        <v>11682.51</v>
      </c>
      <c r="F138" s="8">
        <v>6973.620000000003</v>
      </c>
      <c r="G138" s="9">
        <v>0.3737977812118592</v>
      </c>
    </row>
    <row r="139" spans="1:7">
      <c r="A139" t="s">
        <v>73</v>
      </c>
      <c r="B139" t="s">
        <v>56</v>
      </c>
      <c r="C139">
        <v>6300</v>
      </c>
      <c r="D139" s="8">
        <v>28866.27</v>
      </c>
      <c r="E139" s="8">
        <v>31805.3</v>
      </c>
      <c r="F139" s="8">
        <v>-2939.029999999999</v>
      </c>
      <c r="G139" s="9">
        <v>-0.1018153713659575</v>
      </c>
    </row>
    <row r="140" spans="1:7">
      <c r="A140" t="s">
        <v>73</v>
      </c>
      <c r="B140" t="s">
        <v>56</v>
      </c>
      <c r="C140">
        <v>6400</v>
      </c>
      <c r="D140" s="8">
        <v>65660.52</v>
      </c>
      <c r="E140" s="8">
        <v>49745.29</v>
      </c>
      <c r="F140" s="8">
        <v>15915.23</v>
      </c>
      <c r="G140" s="9">
        <v>0.2423865969992318</v>
      </c>
    </row>
    <row r="141" spans="1:7">
      <c r="A141" t="s">
        <v>73</v>
      </c>
      <c r="B141" t="s">
        <v>56</v>
      </c>
      <c r="C141">
        <v>6500</v>
      </c>
      <c r="D141" s="8">
        <v>50853.59</v>
      </c>
      <c r="E141" s="8">
        <v>28560.23</v>
      </c>
      <c r="F141" s="8">
        <v>22293.36</v>
      </c>
      <c r="G141" s="9">
        <v>0.4383832095236541</v>
      </c>
    </row>
    <row r="142" spans="1:7">
      <c r="A142" t="s">
        <v>73</v>
      </c>
      <c r="B142" t="s">
        <v>81</v>
      </c>
      <c r="C142">
        <v>5000</v>
      </c>
      <c r="D142" s="8">
        <v>52973.51</v>
      </c>
      <c r="E142" s="8">
        <v>70015.98000000001</v>
      </c>
      <c r="F142" s="8">
        <v>-17042.47000000001</v>
      </c>
      <c r="G142" s="9">
        <v>-0.3217168354522856</v>
      </c>
    </row>
    <row r="143" spans="1:7">
      <c r="A143" t="s">
        <v>73</v>
      </c>
      <c r="B143" t="s">
        <v>81</v>
      </c>
      <c r="C143">
        <v>6100</v>
      </c>
      <c r="D143" s="8">
        <v>12808.27</v>
      </c>
      <c r="E143" s="8">
        <v>0</v>
      </c>
      <c r="F143" s="8">
        <v>12808.27</v>
      </c>
      <c r="G143" s="9">
        <v>1</v>
      </c>
    </row>
    <row r="144" spans="1:7">
      <c r="A144" t="s">
        <v>73</v>
      </c>
      <c r="B144" t="s">
        <v>81</v>
      </c>
      <c r="C144">
        <v>6200</v>
      </c>
      <c r="D144" s="8">
        <v>42213.88</v>
      </c>
      <c r="E144" s="8">
        <v>23537.83</v>
      </c>
      <c r="F144" s="8">
        <v>18676.05</v>
      </c>
      <c r="G144" s="9">
        <v>0.4424149118725878</v>
      </c>
    </row>
    <row r="145" spans="1:7">
      <c r="A145" t="s">
        <v>73</v>
      </c>
      <c r="B145" t="s">
        <v>81</v>
      </c>
      <c r="C145">
        <v>6300</v>
      </c>
      <c r="D145" s="8">
        <v>29837.63</v>
      </c>
      <c r="E145" s="8">
        <v>20641.83</v>
      </c>
      <c r="F145" s="8">
        <v>9195.799999999999</v>
      </c>
      <c r="G145" s="9">
        <v>0.308194719218651</v>
      </c>
    </row>
    <row r="146" spans="1:7">
      <c r="A146" t="s">
        <v>73</v>
      </c>
      <c r="B146" t="s">
        <v>81</v>
      </c>
      <c r="C146">
        <v>6400</v>
      </c>
      <c r="D146" s="8">
        <v>10835.5</v>
      </c>
      <c r="E146" s="8">
        <v>27671.59</v>
      </c>
      <c r="F146" s="8">
        <v>-16836.09</v>
      </c>
      <c r="G146" s="9">
        <v>-1.553789857413133</v>
      </c>
    </row>
    <row r="147" spans="1:7">
      <c r="A147" t="s">
        <v>73</v>
      </c>
      <c r="B147" t="s">
        <v>81</v>
      </c>
      <c r="C147">
        <v>6500</v>
      </c>
      <c r="D147" s="8">
        <v>31010.76</v>
      </c>
      <c r="E147" s="8">
        <v>0</v>
      </c>
      <c r="F147" s="8">
        <v>31010.76</v>
      </c>
      <c r="G147" s="9">
        <v>1</v>
      </c>
    </row>
    <row r="148" spans="1:7">
      <c r="A148" t="s">
        <v>73</v>
      </c>
      <c r="B148" t="s">
        <v>82</v>
      </c>
      <c r="C148">
        <v>5000</v>
      </c>
      <c r="D148" s="8">
        <v>28963.9</v>
      </c>
      <c r="E148" s="8">
        <v>36037.73</v>
      </c>
      <c r="F148" s="8">
        <v>-7073.829999999994</v>
      </c>
      <c r="G148" s="9">
        <v>-0.2442291956539</v>
      </c>
    </row>
    <row r="149" spans="1:7">
      <c r="A149" t="s">
        <v>73</v>
      </c>
      <c r="B149" t="s">
        <v>82</v>
      </c>
      <c r="C149">
        <v>6100</v>
      </c>
      <c r="D149" s="8">
        <v>52714.01</v>
      </c>
      <c r="E149" s="8">
        <v>24342.1</v>
      </c>
      <c r="F149" s="8">
        <v>28371.91</v>
      </c>
      <c r="G149" s="9">
        <v>0.538223330002783</v>
      </c>
    </row>
    <row r="150" spans="1:7">
      <c r="A150" t="s">
        <v>73</v>
      </c>
      <c r="B150" t="s">
        <v>82</v>
      </c>
      <c r="C150">
        <v>6200</v>
      </c>
      <c r="D150" s="8">
        <v>77230.97</v>
      </c>
      <c r="E150" s="8">
        <v>39173.54</v>
      </c>
      <c r="F150" s="8">
        <v>38057.43</v>
      </c>
      <c r="G150" s="9">
        <v>0.4927742070311948</v>
      </c>
    </row>
    <row r="151" spans="1:7">
      <c r="A151" t="s">
        <v>73</v>
      </c>
      <c r="B151" t="s">
        <v>82</v>
      </c>
      <c r="C151">
        <v>6300</v>
      </c>
      <c r="D151" s="8">
        <v>66624.64</v>
      </c>
      <c r="E151" s="8">
        <v>27121.36</v>
      </c>
      <c r="F151" s="8">
        <v>39503.28</v>
      </c>
      <c r="G151" s="9">
        <v>0.5929229786457383</v>
      </c>
    </row>
    <row r="152" spans="1:7">
      <c r="A152" t="s">
        <v>73</v>
      </c>
      <c r="B152" t="s">
        <v>82</v>
      </c>
      <c r="C152">
        <v>6400</v>
      </c>
      <c r="D152" s="8">
        <v>55251.84</v>
      </c>
      <c r="E152" s="8">
        <v>26333.08</v>
      </c>
      <c r="F152" s="8">
        <v>28918.75999999999</v>
      </c>
      <c r="G152" s="9">
        <v>0.5233990397423868</v>
      </c>
    </row>
    <row r="153" spans="1:7">
      <c r="A153" t="s">
        <v>73</v>
      </c>
      <c r="B153" t="s">
        <v>82</v>
      </c>
      <c r="C153">
        <v>6500</v>
      </c>
      <c r="D153" s="8">
        <v>59696.45</v>
      </c>
      <c r="E153" s="8">
        <v>0</v>
      </c>
      <c r="F153" s="8">
        <v>59696.45</v>
      </c>
      <c r="G153" s="9">
        <v>1</v>
      </c>
    </row>
    <row r="154" spans="1:7">
      <c r="A154" t="s">
        <v>74</v>
      </c>
      <c r="B154" t="s">
        <v>55</v>
      </c>
      <c r="C154">
        <v>5000</v>
      </c>
      <c r="D154" s="8">
        <v>30181.21</v>
      </c>
      <c r="E154" s="8">
        <v>7836.92</v>
      </c>
      <c r="F154" s="8">
        <v>22344.29</v>
      </c>
      <c r="G154" s="9">
        <v>0.7403377796980307</v>
      </c>
    </row>
    <row r="155" spans="1:7">
      <c r="A155" t="s">
        <v>74</v>
      </c>
      <c r="B155" t="s">
        <v>55</v>
      </c>
      <c r="C155">
        <v>6100</v>
      </c>
      <c r="D155" s="8">
        <v>5854.67</v>
      </c>
      <c r="E155" s="8">
        <v>0</v>
      </c>
      <c r="F155" s="8">
        <v>5854.67</v>
      </c>
      <c r="G155" s="9">
        <v>1</v>
      </c>
    </row>
    <row r="156" spans="1:7">
      <c r="A156" t="s">
        <v>74</v>
      </c>
      <c r="B156" t="s">
        <v>55</v>
      </c>
      <c r="C156">
        <v>6200</v>
      </c>
      <c r="D156" s="8">
        <v>20726.32</v>
      </c>
      <c r="E156" s="8">
        <v>47150.38</v>
      </c>
      <c r="F156" s="8">
        <v>-26424.06</v>
      </c>
      <c r="G156" s="9">
        <v>-1.274903600832179</v>
      </c>
    </row>
    <row r="157" spans="1:7">
      <c r="A157" t="s">
        <v>74</v>
      </c>
      <c r="B157" t="s">
        <v>55</v>
      </c>
      <c r="C157">
        <v>6300</v>
      </c>
      <c r="D157" s="8">
        <v>56988.21</v>
      </c>
      <c r="E157" s="8">
        <v>13891.65</v>
      </c>
      <c r="F157" s="8">
        <v>43096.56</v>
      </c>
      <c r="G157" s="9">
        <v>0.7562364215335067</v>
      </c>
    </row>
    <row r="158" spans="1:7">
      <c r="A158" t="s">
        <v>74</v>
      </c>
      <c r="B158" t="s">
        <v>55</v>
      </c>
      <c r="C158">
        <v>6400</v>
      </c>
      <c r="D158" s="8">
        <v>31286.09</v>
      </c>
      <c r="E158" s="8">
        <v>29765.87</v>
      </c>
      <c r="F158" s="8">
        <v>1520.219999999998</v>
      </c>
      <c r="G158" s="9">
        <v>0.04859092331448249</v>
      </c>
    </row>
    <row r="159" spans="1:7">
      <c r="A159" t="s">
        <v>74</v>
      </c>
      <c r="B159" t="s">
        <v>55</v>
      </c>
      <c r="C159">
        <v>6500</v>
      </c>
      <c r="D159" s="8">
        <v>64026.5</v>
      </c>
      <c r="E159" s="8">
        <v>33938.12</v>
      </c>
      <c r="F159" s="8">
        <v>30088.38</v>
      </c>
      <c r="G159" s="9">
        <v>0.4699363544782239</v>
      </c>
    </row>
    <row r="160" spans="1:7">
      <c r="A160" t="s">
        <v>74</v>
      </c>
      <c r="B160" t="s">
        <v>57</v>
      </c>
      <c r="C160">
        <v>5000</v>
      </c>
      <c r="D160" s="8">
        <v>59031.02</v>
      </c>
      <c r="E160" s="8">
        <v>29328.65</v>
      </c>
      <c r="F160" s="8">
        <v>29702.37</v>
      </c>
      <c r="G160" s="9">
        <v>0.503165454366196</v>
      </c>
    </row>
    <row r="161" spans="1:7">
      <c r="A161" t="s">
        <v>74</v>
      </c>
      <c r="B161" t="s">
        <v>57</v>
      </c>
      <c r="C161">
        <v>6100</v>
      </c>
      <c r="D161" s="8">
        <v>8611.059999999999</v>
      </c>
      <c r="E161" s="8">
        <v>25045.07</v>
      </c>
      <c r="F161" s="8">
        <v>-16434.01</v>
      </c>
      <c r="G161" s="9">
        <v>-1.908477005153837</v>
      </c>
    </row>
    <row r="162" spans="1:7">
      <c r="A162" t="s">
        <v>74</v>
      </c>
      <c r="B162" t="s">
        <v>57</v>
      </c>
      <c r="C162">
        <v>6200</v>
      </c>
      <c r="D162" s="8">
        <v>37866.51</v>
      </c>
      <c r="E162" s="8">
        <v>22880.43</v>
      </c>
      <c r="F162" s="8">
        <v>14986.08</v>
      </c>
      <c r="G162" s="9">
        <v>0.3957607923201795</v>
      </c>
    </row>
    <row r="163" spans="1:7">
      <c r="A163" t="s">
        <v>74</v>
      </c>
      <c r="B163" t="s">
        <v>57</v>
      </c>
      <c r="C163">
        <v>6300</v>
      </c>
      <c r="D163" s="8">
        <v>36473.99</v>
      </c>
      <c r="E163" s="8">
        <v>46971.11</v>
      </c>
      <c r="F163" s="8">
        <v>-10497.12</v>
      </c>
      <c r="G163" s="9">
        <v>-0.2877974139928207</v>
      </c>
    </row>
    <row r="164" spans="1:7">
      <c r="A164" t="s">
        <v>74</v>
      </c>
      <c r="B164" t="s">
        <v>57</v>
      </c>
      <c r="C164">
        <v>6400</v>
      </c>
      <c r="D164" s="8">
        <v>17475.38</v>
      </c>
      <c r="E164" s="8">
        <v>15095.56</v>
      </c>
      <c r="F164" s="8">
        <v>2379.820000000002</v>
      </c>
      <c r="G164" s="9">
        <v>0.1361813019230484</v>
      </c>
    </row>
    <row r="165" spans="1:7">
      <c r="A165" t="s">
        <v>74</v>
      </c>
      <c r="B165" t="s">
        <v>57</v>
      </c>
      <c r="C165">
        <v>6500</v>
      </c>
      <c r="D165" s="8">
        <v>36051.44</v>
      </c>
      <c r="E165" s="8">
        <v>74549.68000000001</v>
      </c>
      <c r="F165" s="8">
        <v>-38498.24000000001</v>
      </c>
      <c r="G165" s="9">
        <v>-1.067869688422987</v>
      </c>
    </row>
    <row r="166" spans="1:7">
      <c r="A166" t="s">
        <v>74</v>
      </c>
      <c r="B166" t="s">
        <v>56</v>
      </c>
      <c r="C166">
        <v>5000</v>
      </c>
      <c r="D166" s="8">
        <v>71132.8</v>
      </c>
      <c r="E166" s="8">
        <v>24820.96</v>
      </c>
      <c r="F166" s="8">
        <v>46311.84</v>
      </c>
      <c r="G166" s="9">
        <v>0.6510616761887624</v>
      </c>
    </row>
    <row r="167" spans="1:7">
      <c r="A167" t="s">
        <v>74</v>
      </c>
      <c r="B167" t="s">
        <v>56</v>
      </c>
      <c r="C167">
        <v>6100</v>
      </c>
      <c r="D167" s="8">
        <v>31342.34</v>
      </c>
      <c r="E167" s="8">
        <v>22411.47</v>
      </c>
      <c r="F167" s="8">
        <v>8930.869999999999</v>
      </c>
      <c r="G167" s="9">
        <v>0.2849458591796273</v>
      </c>
    </row>
    <row r="168" spans="1:7">
      <c r="A168" t="s">
        <v>74</v>
      </c>
      <c r="B168" t="s">
        <v>56</v>
      </c>
      <c r="C168">
        <v>6200</v>
      </c>
      <c r="D168" s="8">
        <v>33151.07</v>
      </c>
      <c r="E168" s="8">
        <v>42361.14999999999</v>
      </c>
      <c r="F168" s="8">
        <v>-9210.079999999994</v>
      </c>
      <c r="G168" s="9">
        <v>-0.2778215001808386</v>
      </c>
    </row>
    <row r="169" spans="1:7">
      <c r="A169" t="s">
        <v>74</v>
      </c>
      <c r="B169" t="s">
        <v>56</v>
      </c>
      <c r="C169">
        <v>6300</v>
      </c>
      <c r="D169" s="8">
        <v>67160.52</v>
      </c>
      <c r="E169" s="8">
        <v>11798.17</v>
      </c>
      <c r="F169" s="8">
        <v>55362.35000000001</v>
      </c>
      <c r="G169" s="9">
        <v>0.8243287872101051</v>
      </c>
    </row>
    <row r="170" spans="1:7">
      <c r="A170" t="s">
        <v>74</v>
      </c>
      <c r="B170" t="s">
        <v>56</v>
      </c>
      <c r="C170">
        <v>6400</v>
      </c>
      <c r="D170" s="8">
        <v>64154.75</v>
      </c>
      <c r="E170" s="8">
        <v>44183.07</v>
      </c>
      <c r="F170" s="8">
        <v>19971.68</v>
      </c>
      <c r="G170" s="9">
        <v>0.3113047747828493</v>
      </c>
    </row>
    <row r="171" spans="1:7">
      <c r="A171" t="s">
        <v>74</v>
      </c>
      <c r="B171" t="s">
        <v>56</v>
      </c>
      <c r="C171">
        <v>6500</v>
      </c>
      <c r="D171" s="8">
        <v>48354.16</v>
      </c>
      <c r="E171" s="8">
        <v>50215.81</v>
      </c>
      <c r="F171" s="8">
        <v>-1861.649999999994</v>
      </c>
      <c r="G171" s="9">
        <v>-0.03850030690223952</v>
      </c>
    </row>
    <row r="172" spans="1:7">
      <c r="A172" t="s">
        <v>74</v>
      </c>
      <c r="B172" t="s">
        <v>81</v>
      </c>
      <c r="C172">
        <v>5000</v>
      </c>
      <c r="D172" s="8">
        <v>61868.27</v>
      </c>
      <c r="E172" s="8">
        <v>46902.31</v>
      </c>
      <c r="F172" s="8">
        <v>14965.96</v>
      </c>
      <c r="G172" s="9">
        <v>0.2419004119559186</v>
      </c>
    </row>
    <row r="173" spans="1:7">
      <c r="A173" t="s">
        <v>74</v>
      </c>
      <c r="B173" t="s">
        <v>81</v>
      </c>
      <c r="C173">
        <v>6100</v>
      </c>
      <c r="D173" s="8">
        <v>21918.7</v>
      </c>
      <c r="E173" s="8">
        <v>28228.93</v>
      </c>
      <c r="F173" s="8">
        <v>-6310.23</v>
      </c>
      <c r="G173" s="9">
        <v>-0.2878925301226806</v>
      </c>
    </row>
    <row r="174" spans="1:7">
      <c r="A174" t="s">
        <v>74</v>
      </c>
      <c r="B174" t="s">
        <v>81</v>
      </c>
      <c r="C174">
        <v>6200</v>
      </c>
      <c r="D174" s="8">
        <v>38846.56</v>
      </c>
      <c r="E174" s="8">
        <v>75234.7</v>
      </c>
      <c r="F174" s="8">
        <v>-36388.14</v>
      </c>
      <c r="G174" s="9">
        <v>-0.9367146022710892</v>
      </c>
    </row>
    <row r="175" spans="1:7">
      <c r="A175" t="s">
        <v>74</v>
      </c>
      <c r="B175" t="s">
        <v>81</v>
      </c>
      <c r="C175">
        <v>6300</v>
      </c>
      <c r="D175" s="8">
        <v>64939.59</v>
      </c>
      <c r="E175" s="8">
        <v>0</v>
      </c>
      <c r="F175" s="8">
        <v>64939.59</v>
      </c>
      <c r="G175" s="9">
        <v>1</v>
      </c>
    </row>
    <row r="176" spans="1:7">
      <c r="A176" t="s">
        <v>74</v>
      </c>
      <c r="B176" t="s">
        <v>81</v>
      </c>
      <c r="C176">
        <v>6400</v>
      </c>
      <c r="D176" s="8">
        <v>7505.96</v>
      </c>
      <c r="E176" s="8">
        <v>20543.3</v>
      </c>
      <c r="F176" s="8">
        <v>-13037.34</v>
      </c>
      <c r="G176" s="9">
        <v>-1.736931718261222</v>
      </c>
    </row>
    <row r="177" spans="1:7">
      <c r="A177" t="s">
        <v>74</v>
      </c>
      <c r="B177" t="s">
        <v>81</v>
      </c>
      <c r="C177">
        <v>6500</v>
      </c>
      <c r="D177" s="8">
        <v>6505.85</v>
      </c>
      <c r="E177" s="8">
        <v>1569.36</v>
      </c>
      <c r="F177" s="8">
        <v>4936.490000000001</v>
      </c>
      <c r="G177" s="9">
        <v>0.7587771006094516</v>
      </c>
    </row>
    <row r="178" spans="1:7">
      <c r="A178" t="s">
        <v>74</v>
      </c>
      <c r="B178" t="s">
        <v>82</v>
      </c>
      <c r="C178">
        <v>5000</v>
      </c>
      <c r="D178" s="8">
        <v>24584.58</v>
      </c>
      <c r="E178" s="8">
        <v>0</v>
      </c>
      <c r="F178" s="8">
        <v>24584.58</v>
      </c>
      <c r="G178" s="9">
        <v>1</v>
      </c>
    </row>
    <row r="179" spans="1:7">
      <c r="A179" t="s">
        <v>74</v>
      </c>
      <c r="B179" t="s">
        <v>82</v>
      </c>
      <c r="C179">
        <v>6100</v>
      </c>
      <c r="D179" s="8">
        <v>12854.38</v>
      </c>
      <c r="E179" s="8">
        <v>6400.33</v>
      </c>
      <c r="F179" s="8">
        <v>6454.049999999999</v>
      </c>
      <c r="G179" s="9">
        <v>0.5020895601343667</v>
      </c>
    </row>
    <row r="180" spans="1:7">
      <c r="A180" t="s">
        <v>74</v>
      </c>
      <c r="B180" t="s">
        <v>82</v>
      </c>
      <c r="C180">
        <v>6200</v>
      </c>
      <c r="D180" s="8">
        <v>30635.62</v>
      </c>
      <c r="E180" s="8">
        <v>3593.03</v>
      </c>
      <c r="F180" s="8">
        <v>27042.59</v>
      </c>
      <c r="G180" s="9">
        <v>0.8827172422167399</v>
      </c>
    </row>
    <row r="181" spans="1:7">
      <c r="A181" t="s">
        <v>74</v>
      </c>
      <c r="B181" t="s">
        <v>82</v>
      </c>
      <c r="C181">
        <v>6300</v>
      </c>
      <c r="D181" s="8">
        <v>71594.85000000001</v>
      </c>
      <c r="E181" s="8">
        <v>0</v>
      </c>
      <c r="F181" s="8">
        <v>71594.85000000001</v>
      </c>
      <c r="G181" s="9">
        <v>1</v>
      </c>
    </row>
    <row r="182" spans="1:7">
      <c r="A182" t="s">
        <v>74</v>
      </c>
      <c r="B182" t="s">
        <v>82</v>
      </c>
      <c r="C182">
        <v>6400</v>
      </c>
      <c r="D182" s="8">
        <v>17067.84</v>
      </c>
      <c r="E182" s="8">
        <v>7814.62</v>
      </c>
      <c r="F182" s="8">
        <v>9253.220000000001</v>
      </c>
      <c r="G182" s="9">
        <v>0.5421435870033936</v>
      </c>
    </row>
    <row r="183" spans="1:7">
      <c r="A183" t="s">
        <v>74</v>
      </c>
      <c r="B183" t="s">
        <v>82</v>
      </c>
      <c r="C183">
        <v>6500</v>
      </c>
      <c r="D183" s="8">
        <v>10625.18</v>
      </c>
      <c r="E183" s="8">
        <v>0</v>
      </c>
      <c r="F183" s="8">
        <v>10625.18</v>
      </c>
      <c r="G183" s="9">
        <v>1</v>
      </c>
    </row>
    <row r="184" spans="1:7">
      <c r="A184" t="s">
        <v>75</v>
      </c>
      <c r="B184" t="s">
        <v>55</v>
      </c>
      <c r="C184">
        <v>5000</v>
      </c>
      <c r="D184" s="8">
        <v>75637.56</v>
      </c>
      <c r="E184" s="8">
        <v>2144.77</v>
      </c>
      <c r="F184" s="8">
        <v>73492.78999999999</v>
      </c>
      <c r="G184" s="9">
        <v>0.9716441143791523</v>
      </c>
    </row>
    <row r="185" spans="1:7">
      <c r="A185" t="s">
        <v>75</v>
      </c>
      <c r="B185" t="s">
        <v>55</v>
      </c>
      <c r="C185">
        <v>6100</v>
      </c>
      <c r="D185" s="8">
        <v>78353.11</v>
      </c>
      <c r="E185" s="8">
        <v>16406.37</v>
      </c>
      <c r="F185" s="8">
        <v>61946.74000000001</v>
      </c>
      <c r="G185" s="9">
        <v>0.7906098430553683</v>
      </c>
    </row>
    <row r="186" spans="1:7">
      <c r="A186" t="s">
        <v>75</v>
      </c>
      <c r="B186" t="s">
        <v>55</v>
      </c>
      <c r="C186">
        <v>6200</v>
      </c>
      <c r="D186" s="8">
        <v>30346.29</v>
      </c>
      <c r="E186" s="8">
        <v>2300.52</v>
      </c>
      <c r="F186" s="8">
        <v>28045.77</v>
      </c>
      <c r="G186" s="9">
        <v>0.9241910625648143</v>
      </c>
    </row>
    <row r="187" spans="1:7">
      <c r="A187" t="s">
        <v>75</v>
      </c>
      <c r="B187" t="s">
        <v>55</v>
      </c>
      <c r="C187">
        <v>6300</v>
      </c>
      <c r="D187" s="8">
        <v>78895.71000000001</v>
      </c>
      <c r="E187" s="8">
        <v>7259.1</v>
      </c>
      <c r="F187" s="8">
        <v>71636.61</v>
      </c>
      <c r="G187" s="9">
        <v>0.9079911949585091</v>
      </c>
    </row>
    <row r="188" spans="1:7">
      <c r="A188" t="s">
        <v>75</v>
      </c>
      <c r="B188" t="s">
        <v>55</v>
      </c>
      <c r="C188">
        <v>6400</v>
      </c>
      <c r="D188" s="8">
        <v>71991.96000000001</v>
      </c>
      <c r="E188" s="8">
        <v>6228.64</v>
      </c>
      <c r="F188" s="8">
        <v>65763.32000000001</v>
      </c>
      <c r="G188" s="9">
        <v>0.9134814498730136</v>
      </c>
    </row>
    <row r="189" spans="1:7">
      <c r="A189" t="s">
        <v>75</v>
      </c>
      <c r="B189" t="s">
        <v>55</v>
      </c>
      <c r="C189">
        <v>6500</v>
      </c>
      <c r="D189" s="8">
        <v>57837.85</v>
      </c>
      <c r="E189" s="8">
        <v>65052.06</v>
      </c>
      <c r="F189" s="8">
        <v>-7214.209999999999</v>
      </c>
      <c r="G189" s="9">
        <v>-0.1247316419956827</v>
      </c>
    </row>
    <row r="190" spans="1:7">
      <c r="A190" t="s">
        <v>75</v>
      </c>
      <c r="B190" t="s">
        <v>57</v>
      </c>
      <c r="C190">
        <v>5000</v>
      </c>
      <c r="D190" s="8">
        <v>37349.25</v>
      </c>
      <c r="E190" s="8">
        <v>28369</v>
      </c>
      <c r="F190" s="8">
        <v>8980.25</v>
      </c>
      <c r="G190" s="9">
        <v>0.2404399017383214</v>
      </c>
    </row>
    <row r="191" spans="1:7">
      <c r="A191" t="s">
        <v>75</v>
      </c>
      <c r="B191" t="s">
        <v>57</v>
      </c>
      <c r="C191">
        <v>6100</v>
      </c>
      <c r="D191" s="8">
        <v>54022.64</v>
      </c>
      <c r="E191" s="8">
        <v>41307.42</v>
      </c>
      <c r="F191" s="8">
        <v>12715.22</v>
      </c>
      <c r="G191" s="9">
        <v>0.2353683566741648</v>
      </c>
    </row>
    <row r="192" spans="1:7">
      <c r="A192" t="s">
        <v>75</v>
      </c>
      <c r="B192" t="s">
        <v>57</v>
      </c>
      <c r="C192">
        <v>6200</v>
      </c>
      <c r="D192" s="8">
        <v>50548.82</v>
      </c>
      <c r="E192" s="8">
        <v>9924.990000000002</v>
      </c>
      <c r="F192" s="8">
        <v>40623.83</v>
      </c>
      <c r="G192" s="9">
        <v>0.80365535733574</v>
      </c>
    </row>
    <row r="193" spans="1:7">
      <c r="A193" t="s">
        <v>75</v>
      </c>
      <c r="B193" t="s">
        <v>57</v>
      </c>
      <c r="C193">
        <v>6300</v>
      </c>
      <c r="D193" s="8">
        <v>37565.03</v>
      </c>
      <c r="E193" s="8">
        <v>29722.3</v>
      </c>
      <c r="F193" s="8">
        <v>7842.73</v>
      </c>
      <c r="G193" s="9">
        <v>0.2087774187855034</v>
      </c>
    </row>
    <row r="194" spans="1:7">
      <c r="A194" t="s">
        <v>75</v>
      </c>
      <c r="B194" t="s">
        <v>57</v>
      </c>
      <c r="C194">
        <v>6400</v>
      </c>
      <c r="D194" s="8">
        <v>9016.68</v>
      </c>
      <c r="E194" s="8">
        <v>19854.62</v>
      </c>
      <c r="F194" s="8">
        <v>-10837.94</v>
      </c>
      <c r="G194" s="9">
        <v>-1.201987871367288</v>
      </c>
    </row>
    <row r="195" spans="1:7">
      <c r="A195" t="s">
        <v>75</v>
      </c>
      <c r="B195" t="s">
        <v>57</v>
      </c>
      <c r="C195">
        <v>6500</v>
      </c>
      <c r="D195" s="8">
        <v>29832.09</v>
      </c>
      <c r="E195" s="8">
        <v>25721.51</v>
      </c>
      <c r="F195" s="8">
        <v>4110.580000000002</v>
      </c>
      <c r="G195" s="9">
        <v>0.1377905470250325</v>
      </c>
    </row>
    <row r="196" spans="1:7">
      <c r="A196" t="s">
        <v>75</v>
      </c>
      <c r="B196" t="s">
        <v>56</v>
      </c>
      <c r="C196">
        <v>5000</v>
      </c>
      <c r="D196" s="8">
        <v>78079.88</v>
      </c>
      <c r="E196" s="8">
        <v>58882.07</v>
      </c>
      <c r="F196" s="8">
        <v>19197.81</v>
      </c>
      <c r="G196" s="9">
        <v>0.2458739690686</v>
      </c>
    </row>
    <row r="197" spans="1:7">
      <c r="A197" t="s">
        <v>75</v>
      </c>
      <c r="B197" t="s">
        <v>56</v>
      </c>
      <c r="C197">
        <v>6100</v>
      </c>
      <c r="D197" s="8">
        <v>35695.99</v>
      </c>
      <c r="E197" s="8">
        <v>0</v>
      </c>
      <c r="F197" s="8">
        <v>35695.99</v>
      </c>
      <c r="G197" s="9">
        <v>1</v>
      </c>
    </row>
    <row r="198" spans="1:7">
      <c r="A198" t="s">
        <v>75</v>
      </c>
      <c r="B198" t="s">
        <v>56</v>
      </c>
      <c r="C198">
        <v>6200</v>
      </c>
      <c r="D198" s="8">
        <v>46558.43</v>
      </c>
      <c r="E198" s="8">
        <v>0</v>
      </c>
      <c r="F198" s="8">
        <v>46558.43</v>
      </c>
      <c r="G198" s="9">
        <v>1</v>
      </c>
    </row>
    <row r="199" spans="1:7">
      <c r="A199" t="s">
        <v>75</v>
      </c>
      <c r="B199" t="s">
        <v>56</v>
      </c>
      <c r="C199">
        <v>6300</v>
      </c>
      <c r="D199" s="8">
        <v>74418.02</v>
      </c>
      <c r="E199" s="8">
        <v>23683.41</v>
      </c>
      <c r="F199" s="8">
        <v>50734.61</v>
      </c>
      <c r="G199" s="9">
        <v>0.6817516778866194</v>
      </c>
    </row>
    <row r="200" spans="1:7">
      <c r="A200" t="s">
        <v>75</v>
      </c>
      <c r="B200" t="s">
        <v>56</v>
      </c>
      <c r="C200">
        <v>6400</v>
      </c>
      <c r="D200" s="8">
        <v>45509.41</v>
      </c>
      <c r="E200" s="8">
        <v>18850.78</v>
      </c>
      <c r="F200" s="8">
        <v>26658.63</v>
      </c>
      <c r="G200" s="9">
        <v>0.5857828084345633</v>
      </c>
    </row>
    <row r="201" spans="1:7">
      <c r="A201" t="s">
        <v>75</v>
      </c>
      <c r="B201" t="s">
        <v>56</v>
      </c>
      <c r="C201">
        <v>6500</v>
      </c>
      <c r="D201" s="8">
        <v>54544.84</v>
      </c>
      <c r="E201" s="8">
        <v>0</v>
      </c>
      <c r="F201" s="8">
        <v>54544.84</v>
      </c>
      <c r="G201" s="9">
        <v>1</v>
      </c>
    </row>
    <row r="202" spans="1:7">
      <c r="A202" t="s">
        <v>75</v>
      </c>
      <c r="B202" t="s">
        <v>81</v>
      </c>
      <c r="C202">
        <v>5000</v>
      </c>
      <c r="D202" s="8">
        <v>27305.05</v>
      </c>
      <c r="E202" s="8">
        <v>22916.12</v>
      </c>
      <c r="F202" s="8">
        <v>4388.929999999997</v>
      </c>
      <c r="G202" s="9">
        <v>0.16073693327791</v>
      </c>
    </row>
    <row r="203" spans="1:7">
      <c r="A203" t="s">
        <v>75</v>
      </c>
      <c r="B203" t="s">
        <v>81</v>
      </c>
      <c r="C203">
        <v>6100</v>
      </c>
      <c r="D203" s="8">
        <v>12193.69</v>
      </c>
      <c r="E203" s="8">
        <v>0</v>
      </c>
      <c r="F203" s="8">
        <v>12193.69</v>
      </c>
      <c r="G203" s="9">
        <v>1</v>
      </c>
    </row>
    <row r="204" spans="1:7">
      <c r="A204" t="s">
        <v>75</v>
      </c>
      <c r="B204" t="s">
        <v>81</v>
      </c>
      <c r="C204">
        <v>6200</v>
      </c>
      <c r="D204" s="8">
        <v>34467.67</v>
      </c>
      <c r="E204" s="8">
        <v>18532.79</v>
      </c>
      <c r="F204" s="8">
        <v>15934.88</v>
      </c>
      <c r="G204" s="9">
        <v>0.4623138146558789</v>
      </c>
    </row>
    <row r="205" spans="1:7">
      <c r="A205" t="s">
        <v>75</v>
      </c>
      <c r="B205" t="s">
        <v>81</v>
      </c>
      <c r="C205">
        <v>6300</v>
      </c>
      <c r="D205" s="8">
        <v>46224.7</v>
      </c>
      <c r="E205" s="8">
        <v>32339.97</v>
      </c>
      <c r="F205" s="8">
        <v>13884.73</v>
      </c>
      <c r="G205" s="9">
        <v>0.3003746914528379</v>
      </c>
    </row>
    <row r="206" spans="1:7">
      <c r="A206" t="s">
        <v>75</v>
      </c>
      <c r="B206" t="s">
        <v>81</v>
      </c>
      <c r="C206">
        <v>6400</v>
      </c>
      <c r="D206" s="8">
        <v>41821.12</v>
      </c>
      <c r="E206" s="8">
        <v>34993.8</v>
      </c>
      <c r="F206" s="8">
        <v>6827.32</v>
      </c>
      <c r="G206" s="9">
        <v>0.1632505298758139</v>
      </c>
    </row>
    <row r="207" spans="1:7">
      <c r="A207" t="s">
        <v>75</v>
      </c>
      <c r="B207" t="s">
        <v>81</v>
      </c>
      <c r="C207">
        <v>6500</v>
      </c>
      <c r="D207" s="8">
        <v>9087.860000000001</v>
      </c>
      <c r="E207" s="8">
        <v>32633.76</v>
      </c>
      <c r="F207" s="8">
        <v>-23545.9</v>
      </c>
      <c r="G207" s="9">
        <v>-2.590917993895152</v>
      </c>
    </row>
    <row r="208" spans="1:7">
      <c r="A208" t="s">
        <v>75</v>
      </c>
      <c r="B208" t="s">
        <v>82</v>
      </c>
      <c r="C208">
        <v>5000</v>
      </c>
      <c r="D208" s="8">
        <v>5286.17</v>
      </c>
      <c r="E208" s="8">
        <v>55231.69</v>
      </c>
      <c r="F208" s="8">
        <v>-49945.52</v>
      </c>
      <c r="G208" s="9">
        <v>-9.448337832494984</v>
      </c>
    </row>
    <row r="209" spans="1:7">
      <c r="A209" t="s">
        <v>75</v>
      </c>
      <c r="B209" t="s">
        <v>82</v>
      </c>
      <c r="C209">
        <v>6100</v>
      </c>
      <c r="D209" s="8">
        <v>11572.13</v>
      </c>
      <c r="E209" s="8">
        <v>16944.89</v>
      </c>
      <c r="F209" s="8">
        <v>-5372.76</v>
      </c>
      <c r="G209" s="9">
        <v>-0.464284448930318</v>
      </c>
    </row>
    <row r="210" spans="1:7">
      <c r="A210" t="s">
        <v>75</v>
      </c>
      <c r="B210" t="s">
        <v>82</v>
      </c>
      <c r="C210">
        <v>6200</v>
      </c>
      <c r="D210" s="8">
        <v>66792.3</v>
      </c>
      <c r="E210" s="8">
        <v>0</v>
      </c>
      <c r="F210" s="8">
        <v>66792.3</v>
      </c>
      <c r="G210" s="9">
        <v>1</v>
      </c>
    </row>
    <row r="211" spans="1:7">
      <c r="A211" t="s">
        <v>75</v>
      </c>
      <c r="B211" t="s">
        <v>82</v>
      </c>
      <c r="C211">
        <v>6300</v>
      </c>
      <c r="D211" s="8">
        <v>51881.82</v>
      </c>
      <c r="E211" s="8">
        <v>23230.3</v>
      </c>
      <c r="F211" s="8">
        <v>28651.52</v>
      </c>
      <c r="G211" s="9">
        <v>0.5522458541354177</v>
      </c>
    </row>
    <row r="212" spans="1:7">
      <c r="A212" t="s">
        <v>75</v>
      </c>
      <c r="B212" t="s">
        <v>82</v>
      </c>
      <c r="C212">
        <v>6400</v>
      </c>
      <c r="D212" s="8">
        <v>41024.63</v>
      </c>
      <c r="E212" s="8">
        <v>9832.16</v>
      </c>
      <c r="F212" s="8">
        <v>31192.47</v>
      </c>
      <c r="G212" s="9">
        <v>0.7603351937604312</v>
      </c>
    </row>
    <row r="213" spans="1:7">
      <c r="A213" t="s">
        <v>75</v>
      </c>
      <c r="B213" t="s">
        <v>82</v>
      </c>
      <c r="C213">
        <v>6500</v>
      </c>
      <c r="D213" s="8">
        <v>12274.02</v>
      </c>
      <c r="E213" s="8">
        <v>38014.18</v>
      </c>
      <c r="F213" s="8">
        <v>-25740.16</v>
      </c>
      <c r="G213" s="9">
        <v>-2.097125473153865</v>
      </c>
    </row>
    <row r="214" spans="1:7">
      <c r="A214" t="s">
        <v>76</v>
      </c>
      <c r="B214" t="s">
        <v>55</v>
      </c>
      <c r="C214">
        <v>5000</v>
      </c>
      <c r="D214" s="8">
        <v>20521.47</v>
      </c>
      <c r="E214" s="8">
        <v>0</v>
      </c>
      <c r="F214" s="8">
        <v>20521.47</v>
      </c>
      <c r="G214" s="9">
        <v>1</v>
      </c>
    </row>
    <row r="215" spans="1:7">
      <c r="A215" t="s">
        <v>76</v>
      </c>
      <c r="B215" t="s">
        <v>55</v>
      </c>
      <c r="C215">
        <v>6100</v>
      </c>
      <c r="D215" s="8">
        <v>52864.3</v>
      </c>
      <c r="E215" s="8">
        <v>4245.31</v>
      </c>
      <c r="F215" s="8">
        <v>48618.99000000001</v>
      </c>
      <c r="G215" s="9">
        <v>0.9196941981639783</v>
      </c>
    </row>
    <row r="216" spans="1:7">
      <c r="A216" t="s">
        <v>76</v>
      </c>
      <c r="B216" t="s">
        <v>55</v>
      </c>
      <c r="C216">
        <v>6200</v>
      </c>
      <c r="D216" s="8">
        <v>78279.33</v>
      </c>
      <c r="E216" s="8">
        <v>31562.47</v>
      </c>
      <c r="F216" s="8">
        <v>46716.86</v>
      </c>
      <c r="G216" s="9">
        <v>0.5967968811179145</v>
      </c>
    </row>
    <row r="217" spans="1:7">
      <c r="A217" t="s">
        <v>76</v>
      </c>
      <c r="B217" t="s">
        <v>55</v>
      </c>
      <c r="C217">
        <v>6300</v>
      </c>
      <c r="D217" s="8">
        <v>40517.8</v>
      </c>
      <c r="E217" s="8">
        <v>27508.83</v>
      </c>
      <c r="F217" s="8">
        <v>13008.97</v>
      </c>
      <c r="G217" s="9">
        <v>0.3210680244238335</v>
      </c>
    </row>
    <row r="218" spans="1:7">
      <c r="A218" t="s">
        <v>76</v>
      </c>
      <c r="B218" t="s">
        <v>55</v>
      </c>
      <c r="C218">
        <v>6400</v>
      </c>
      <c r="D218" s="8">
        <v>13663.17</v>
      </c>
      <c r="E218" s="8">
        <v>2371.29</v>
      </c>
      <c r="F218" s="8">
        <v>11291.88</v>
      </c>
      <c r="G218" s="9">
        <v>0.8264465713300794</v>
      </c>
    </row>
    <row r="219" spans="1:7">
      <c r="A219" t="s">
        <v>76</v>
      </c>
      <c r="B219" t="s">
        <v>55</v>
      </c>
      <c r="C219">
        <v>6500</v>
      </c>
      <c r="D219" s="8">
        <v>63865.74</v>
      </c>
      <c r="E219" s="8">
        <v>24309.35</v>
      </c>
      <c r="F219" s="8">
        <v>39556.39</v>
      </c>
      <c r="G219" s="9">
        <v>0.619367911496837</v>
      </c>
    </row>
    <row r="220" spans="1:7">
      <c r="A220" t="s">
        <v>76</v>
      </c>
      <c r="B220" t="s">
        <v>57</v>
      </c>
      <c r="C220">
        <v>5000</v>
      </c>
      <c r="D220" s="8">
        <v>40320.83</v>
      </c>
      <c r="E220" s="8">
        <v>16590.04</v>
      </c>
      <c r="F220" s="8">
        <v>23730.79</v>
      </c>
      <c r="G220" s="9">
        <v>0.5885491444496554</v>
      </c>
    </row>
    <row r="221" spans="1:7">
      <c r="A221" t="s">
        <v>76</v>
      </c>
      <c r="B221" t="s">
        <v>57</v>
      </c>
      <c r="C221">
        <v>6100</v>
      </c>
      <c r="D221" s="8">
        <v>72115.81</v>
      </c>
      <c r="E221" s="8">
        <v>50206.23</v>
      </c>
      <c r="F221" s="8">
        <v>21909.57999999999</v>
      </c>
      <c r="G221" s="9">
        <v>0.3038110505865496</v>
      </c>
    </row>
    <row r="222" spans="1:7">
      <c r="A222" t="s">
        <v>76</v>
      </c>
      <c r="B222" t="s">
        <v>57</v>
      </c>
      <c r="C222">
        <v>6200</v>
      </c>
      <c r="D222" s="8">
        <v>24875.33</v>
      </c>
      <c r="E222" s="8">
        <v>20614.38</v>
      </c>
      <c r="F222" s="8">
        <v>4260.950000000001</v>
      </c>
      <c r="G222" s="9">
        <v>0.1712921999426741</v>
      </c>
    </row>
    <row r="223" spans="1:7">
      <c r="A223" t="s">
        <v>76</v>
      </c>
      <c r="B223" t="s">
        <v>57</v>
      </c>
      <c r="C223">
        <v>6300</v>
      </c>
      <c r="D223" s="8">
        <v>53139.98</v>
      </c>
      <c r="E223" s="8">
        <v>29246.15</v>
      </c>
      <c r="F223" s="8">
        <v>23893.83000000001</v>
      </c>
      <c r="G223" s="9">
        <v>0.4496394240268815</v>
      </c>
    </row>
    <row r="224" spans="1:7">
      <c r="A224" t="s">
        <v>76</v>
      </c>
      <c r="B224" t="s">
        <v>57</v>
      </c>
      <c r="C224">
        <v>6400</v>
      </c>
      <c r="D224" s="8">
        <v>34064.53</v>
      </c>
      <c r="E224" s="8">
        <v>35468.98</v>
      </c>
      <c r="F224" s="8">
        <v>-1404.449999999997</v>
      </c>
      <c r="G224" s="9">
        <v>-0.04122910252981612</v>
      </c>
    </row>
    <row r="225" spans="1:7">
      <c r="A225" t="s">
        <v>76</v>
      </c>
      <c r="B225" t="s">
        <v>57</v>
      </c>
      <c r="C225">
        <v>6500</v>
      </c>
      <c r="D225" s="8">
        <v>32826.54</v>
      </c>
      <c r="E225" s="8">
        <v>10319.22</v>
      </c>
      <c r="F225" s="8">
        <v>22507.32</v>
      </c>
      <c r="G225" s="9">
        <v>0.6856439941583853</v>
      </c>
    </row>
    <row r="226" spans="1:7">
      <c r="A226" t="s">
        <v>76</v>
      </c>
      <c r="B226" t="s">
        <v>56</v>
      </c>
      <c r="C226">
        <v>5000</v>
      </c>
      <c r="D226" s="8">
        <v>33608.39</v>
      </c>
      <c r="E226" s="8">
        <v>65358.85000000001</v>
      </c>
      <c r="F226" s="8">
        <v>-31750.46000000001</v>
      </c>
      <c r="G226" s="9">
        <v>-0.9447182682657517</v>
      </c>
    </row>
    <row r="227" spans="1:7">
      <c r="A227" t="s">
        <v>76</v>
      </c>
      <c r="B227" t="s">
        <v>56</v>
      </c>
      <c r="C227">
        <v>6100</v>
      </c>
      <c r="D227" s="8">
        <v>18993.72</v>
      </c>
      <c r="E227" s="8">
        <v>2865.83</v>
      </c>
      <c r="F227" s="8">
        <v>16127.89</v>
      </c>
      <c r="G227" s="9">
        <v>0.8491169712936697</v>
      </c>
    </row>
    <row r="228" spans="1:7">
      <c r="A228" t="s">
        <v>76</v>
      </c>
      <c r="B228" t="s">
        <v>56</v>
      </c>
      <c r="C228">
        <v>6200</v>
      </c>
      <c r="D228" s="8">
        <v>8346.27</v>
      </c>
      <c r="E228" s="8">
        <v>31745.82</v>
      </c>
      <c r="F228" s="8">
        <v>-23399.55</v>
      </c>
      <c r="G228" s="9">
        <v>-2.803593701138352</v>
      </c>
    </row>
    <row r="229" spans="1:7">
      <c r="A229" t="s">
        <v>76</v>
      </c>
      <c r="B229" t="s">
        <v>56</v>
      </c>
      <c r="C229">
        <v>6300</v>
      </c>
      <c r="D229" s="8">
        <v>37980.53</v>
      </c>
      <c r="E229" s="8">
        <v>0</v>
      </c>
      <c r="F229" s="8">
        <v>37980.53</v>
      </c>
      <c r="G229" s="9">
        <v>1</v>
      </c>
    </row>
    <row r="230" spans="1:7">
      <c r="A230" t="s">
        <v>76</v>
      </c>
      <c r="B230" t="s">
        <v>56</v>
      </c>
      <c r="C230">
        <v>6400</v>
      </c>
      <c r="D230" s="8">
        <v>24755.06</v>
      </c>
      <c r="E230" s="8">
        <v>15968.94</v>
      </c>
      <c r="F230" s="8">
        <v>8786.120000000001</v>
      </c>
      <c r="G230" s="9">
        <v>0.3549221856056903</v>
      </c>
    </row>
    <row r="231" spans="1:7">
      <c r="A231" t="s">
        <v>76</v>
      </c>
      <c r="B231" t="s">
        <v>56</v>
      </c>
      <c r="C231">
        <v>6500</v>
      </c>
      <c r="D231" s="8">
        <v>67780.91</v>
      </c>
      <c r="E231" s="8">
        <v>29026.56</v>
      </c>
      <c r="F231" s="8">
        <v>38754.35000000001</v>
      </c>
      <c r="G231" s="9">
        <v>0.5717590690358096</v>
      </c>
    </row>
    <row r="232" spans="1:7">
      <c r="A232" t="s">
        <v>76</v>
      </c>
      <c r="B232" t="s">
        <v>81</v>
      </c>
      <c r="C232">
        <v>5000</v>
      </c>
      <c r="D232" s="8">
        <v>47318.49</v>
      </c>
      <c r="E232" s="8">
        <v>0</v>
      </c>
      <c r="F232" s="8">
        <v>47318.49</v>
      </c>
      <c r="G232" s="9">
        <v>1</v>
      </c>
    </row>
    <row r="233" spans="1:7">
      <c r="A233" t="s">
        <v>76</v>
      </c>
      <c r="B233" t="s">
        <v>81</v>
      </c>
      <c r="C233">
        <v>6100</v>
      </c>
      <c r="D233" s="8">
        <v>16334.8</v>
      </c>
      <c r="E233" s="8">
        <v>0</v>
      </c>
      <c r="F233" s="8">
        <v>16334.8</v>
      </c>
      <c r="G233" s="9">
        <v>1</v>
      </c>
    </row>
    <row r="234" spans="1:7">
      <c r="A234" t="s">
        <v>76</v>
      </c>
      <c r="B234" t="s">
        <v>81</v>
      </c>
      <c r="C234">
        <v>6200</v>
      </c>
      <c r="D234" s="8">
        <v>57235.32</v>
      </c>
      <c r="E234" s="8">
        <v>16915.32</v>
      </c>
      <c r="F234" s="8">
        <v>40320</v>
      </c>
      <c r="G234" s="9">
        <v>0.7044601130910074</v>
      </c>
    </row>
    <row r="235" spans="1:7">
      <c r="A235" t="s">
        <v>76</v>
      </c>
      <c r="B235" t="s">
        <v>81</v>
      </c>
      <c r="C235">
        <v>6300</v>
      </c>
      <c r="D235" s="8">
        <v>12252.7</v>
      </c>
      <c r="E235" s="8">
        <v>5770.76</v>
      </c>
      <c r="F235" s="8">
        <v>6481.940000000001</v>
      </c>
      <c r="G235" s="9">
        <v>0.5290213585577057</v>
      </c>
    </row>
    <row r="236" spans="1:7">
      <c r="A236" t="s">
        <v>76</v>
      </c>
      <c r="B236" t="s">
        <v>81</v>
      </c>
      <c r="C236">
        <v>6400</v>
      </c>
      <c r="D236" s="8">
        <v>55110.59</v>
      </c>
      <c r="E236" s="8">
        <v>53210.38</v>
      </c>
      <c r="F236" s="8">
        <v>1900.209999999992</v>
      </c>
      <c r="G236" s="9">
        <v>0.03447994296558959</v>
      </c>
    </row>
    <row r="237" spans="1:7">
      <c r="A237" t="s">
        <v>76</v>
      </c>
      <c r="B237" t="s">
        <v>81</v>
      </c>
      <c r="C237">
        <v>6500</v>
      </c>
      <c r="D237" s="8">
        <v>65613.50999999999</v>
      </c>
      <c r="E237" s="8">
        <v>38014.77</v>
      </c>
      <c r="F237" s="8">
        <v>27598.73999999999</v>
      </c>
      <c r="G237" s="9">
        <v>0.4206258741530516</v>
      </c>
    </row>
    <row r="238" spans="1:7">
      <c r="A238" t="s">
        <v>76</v>
      </c>
      <c r="B238" t="s">
        <v>82</v>
      </c>
      <c r="C238">
        <v>5000</v>
      </c>
      <c r="D238" s="8">
        <v>36049</v>
      </c>
      <c r="E238" s="8">
        <v>15532.55</v>
      </c>
      <c r="F238" s="8">
        <v>20516.45</v>
      </c>
      <c r="G238" s="9">
        <v>0.5691267441537907</v>
      </c>
    </row>
    <row r="239" spans="1:7">
      <c r="A239" t="s">
        <v>76</v>
      </c>
      <c r="B239" t="s">
        <v>82</v>
      </c>
      <c r="C239">
        <v>6100</v>
      </c>
      <c r="D239" s="8">
        <v>61734.27</v>
      </c>
      <c r="E239" s="8">
        <v>3038.21</v>
      </c>
      <c r="F239" s="8">
        <v>58696.06</v>
      </c>
      <c r="G239" s="9">
        <v>0.9507856819235087</v>
      </c>
    </row>
    <row r="240" spans="1:7">
      <c r="A240" t="s">
        <v>76</v>
      </c>
      <c r="B240" t="s">
        <v>82</v>
      </c>
      <c r="C240">
        <v>6200</v>
      </c>
      <c r="D240" s="8">
        <v>22063.46</v>
      </c>
      <c r="E240" s="8">
        <v>24225.77</v>
      </c>
      <c r="F240" s="8">
        <v>-2162.310000000001</v>
      </c>
      <c r="G240" s="9">
        <v>-0.098004120840521</v>
      </c>
    </row>
    <row r="241" spans="1:7">
      <c r="A241" t="s">
        <v>76</v>
      </c>
      <c r="B241" t="s">
        <v>82</v>
      </c>
      <c r="C241">
        <v>6300</v>
      </c>
      <c r="D241" s="8">
        <v>9573.780000000001</v>
      </c>
      <c r="E241" s="8">
        <v>0</v>
      </c>
      <c r="F241" s="8">
        <v>9573.780000000001</v>
      </c>
      <c r="G241" s="9">
        <v>1</v>
      </c>
    </row>
    <row r="242" spans="1:7">
      <c r="A242" t="s">
        <v>76</v>
      </c>
      <c r="B242" t="s">
        <v>82</v>
      </c>
      <c r="C242">
        <v>6400</v>
      </c>
      <c r="D242" s="8">
        <v>34032.96</v>
      </c>
      <c r="E242" s="8">
        <v>34107.87</v>
      </c>
      <c r="F242" s="8">
        <v>-74.91000000000349</v>
      </c>
      <c r="G242" s="9">
        <v>-0.002201101520408554</v>
      </c>
    </row>
    <row r="243" spans="1:7">
      <c r="A243" t="s">
        <v>76</v>
      </c>
      <c r="B243" t="s">
        <v>82</v>
      </c>
      <c r="C243">
        <v>6500</v>
      </c>
      <c r="D243" s="8">
        <v>44193.67</v>
      </c>
      <c r="E243" s="8">
        <v>23325.48</v>
      </c>
      <c r="F243" s="8">
        <v>20868.19</v>
      </c>
      <c r="G243" s="9">
        <v>0.472198620300147</v>
      </c>
    </row>
    <row r="244" spans="1:7">
      <c r="A244" t="s">
        <v>77</v>
      </c>
      <c r="B244" t="s">
        <v>55</v>
      </c>
      <c r="C244">
        <v>5000</v>
      </c>
      <c r="D244" s="8">
        <v>77422.08</v>
      </c>
      <c r="E244" s="8">
        <v>628.65</v>
      </c>
      <c r="F244" s="8">
        <v>76793.43000000001</v>
      </c>
      <c r="G244" s="9">
        <v>0.9918802233161393</v>
      </c>
    </row>
    <row r="245" spans="1:7">
      <c r="A245" t="s">
        <v>77</v>
      </c>
      <c r="B245" t="s">
        <v>55</v>
      </c>
      <c r="C245">
        <v>6100</v>
      </c>
      <c r="D245" s="8">
        <v>56530.09</v>
      </c>
      <c r="E245" s="8">
        <v>0</v>
      </c>
      <c r="F245" s="8">
        <v>56530.09</v>
      </c>
      <c r="G245" s="9">
        <v>1</v>
      </c>
    </row>
    <row r="246" spans="1:7">
      <c r="A246" t="s">
        <v>77</v>
      </c>
      <c r="B246" t="s">
        <v>55</v>
      </c>
      <c r="C246">
        <v>6200</v>
      </c>
      <c r="D246" s="8">
        <v>75227.11</v>
      </c>
      <c r="E246" s="8">
        <v>39123.68</v>
      </c>
      <c r="F246" s="8">
        <v>36103.43</v>
      </c>
      <c r="G246" s="9">
        <v>0.4799257873923377</v>
      </c>
    </row>
    <row r="247" spans="1:7">
      <c r="A247" t="s">
        <v>77</v>
      </c>
      <c r="B247" t="s">
        <v>55</v>
      </c>
      <c r="C247">
        <v>6300</v>
      </c>
      <c r="D247" s="8">
        <v>47953.57</v>
      </c>
      <c r="E247" s="8">
        <v>36662.17</v>
      </c>
      <c r="F247" s="8">
        <v>11291.4</v>
      </c>
      <c r="G247" s="9">
        <v>0.2354652635872574</v>
      </c>
    </row>
    <row r="248" spans="1:7">
      <c r="A248" t="s">
        <v>77</v>
      </c>
      <c r="B248" t="s">
        <v>55</v>
      </c>
      <c r="C248">
        <v>6400</v>
      </c>
      <c r="D248" s="8">
        <v>22673.15</v>
      </c>
      <c r="E248" s="8">
        <v>23568.41</v>
      </c>
      <c r="F248" s="8">
        <v>-895.2599999999984</v>
      </c>
      <c r="G248" s="9">
        <v>-0.03948547069992473</v>
      </c>
    </row>
    <row r="249" spans="1:7">
      <c r="A249" t="s">
        <v>77</v>
      </c>
      <c r="B249" t="s">
        <v>55</v>
      </c>
      <c r="C249">
        <v>6500</v>
      </c>
      <c r="D249" s="8">
        <v>27413.91</v>
      </c>
      <c r="E249" s="8">
        <v>0</v>
      </c>
      <c r="F249" s="8">
        <v>27413.91</v>
      </c>
      <c r="G249" s="9">
        <v>1</v>
      </c>
    </row>
    <row r="250" spans="1:7">
      <c r="A250" t="s">
        <v>77</v>
      </c>
      <c r="B250" t="s">
        <v>57</v>
      </c>
      <c r="C250">
        <v>5000</v>
      </c>
      <c r="D250" s="8">
        <v>34610.33</v>
      </c>
      <c r="E250" s="8">
        <v>37860.88</v>
      </c>
      <c r="F250" s="8">
        <v>-3250.550000000003</v>
      </c>
      <c r="G250" s="9">
        <v>-0.0939184919646823</v>
      </c>
    </row>
    <row r="251" spans="1:7">
      <c r="A251" t="s">
        <v>77</v>
      </c>
      <c r="B251" t="s">
        <v>57</v>
      </c>
      <c r="C251">
        <v>6100</v>
      </c>
      <c r="D251" s="8">
        <v>69045.49000000001</v>
      </c>
      <c r="E251" s="8">
        <v>29870.47</v>
      </c>
      <c r="F251" s="8">
        <v>39175.02</v>
      </c>
      <c r="G251" s="9">
        <v>0.5673798534849995</v>
      </c>
    </row>
    <row r="252" spans="1:7">
      <c r="A252" t="s">
        <v>77</v>
      </c>
      <c r="B252" t="s">
        <v>57</v>
      </c>
      <c r="C252">
        <v>6200</v>
      </c>
      <c r="D252" s="8">
        <v>7604.64</v>
      </c>
      <c r="E252" s="8">
        <v>5051.74</v>
      </c>
      <c r="F252" s="8">
        <v>2552.900000000001</v>
      </c>
      <c r="G252" s="9">
        <v>0.3357029392581372</v>
      </c>
    </row>
    <row r="253" spans="1:7">
      <c r="A253" t="s">
        <v>77</v>
      </c>
      <c r="B253" t="s">
        <v>57</v>
      </c>
      <c r="C253">
        <v>6300</v>
      </c>
      <c r="D253" s="8">
        <v>47841.5</v>
      </c>
      <c r="E253" s="8">
        <v>59166.29</v>
      </c>
      <c r="F253" s="8">
        <v>-11324.79</v>
      </c>
      <c r="G253" s="9">
        <v>-0.23671477691962</v>
      </c>
    </row>
    <row r="254" spans="1:7">
      <c r="A254" t="s">
        <v>77</v>
      </c>
      <c r="B254" t="s">
        <v>57</v>
      </c>
      <c r="C254">
        <v>6400</v>
      </c>
      <c r="D254" s="8">
        <v>43761.3</v>
      </c>
      <c r="E254" s="8">
        <v>5783.54</v>
      </c>
      <c r="F254" s="8">
        <v>37977.76</v>
      </c>
      <c r="G254" s="9">
        <v>0.8678389353149929</v>
      </c>
    </row>
    <row r="255" spans="1:7">
      <c r="A255" t="s">
        <v>77</v>
      </c>
      <c r="B255" t="s">
        <v>57</v>
      </c>
      <c r="C255">
        <v>6500</v>
      </c>
      <c r="D255" s="8">
        <v>47861.41</v>
      </c>
      <c r="E255" s="8">
        <v>19391.9</v>
      </c>
      <c r="F255" s="8">
        <v>28469.51</v>
      </c>
      <c r="G255" s="9">
        <v>0.5948322458531832</v>
      </c>
    </row>
    <row r="256" spans="1:7">
      <c r="A256" t="s">
        <v>77</v>
      </c>
      <c r="B256" t="s">
        <v>56</v>
      </c>
      <c r="C256">
        <v>5000</v>
      </c>
      <c r="D256" s="8">
        <v>78706.61</v>
      </c>
      <c r="E256" s="8">
        <v>5673.72</v>
      </c>
      <c r="F256" s="8">
        <v>73032.89</v>
      </c>
      <c r="G256" s="9">
        <v>0.9279130431357671</v>
      </c>
    </row>
    <row r="257" spans="1:7">
      <c r="A257" t="s">
        <v>77</v>
      </c>
      <c r="B257" t="s">
        <v>56</v>
      </c>
      <c r="C257">
        <v>6100</v>
      </c>
      <c r="D257" s="8">
        <v>16058.57</v>
      </c>
      <c r="E257" s="8">
        <v>30788.46</v>
      </c>
      <c r="F257" s="8">
        <v>-14729.89</v>
      </c>
      <c r="G257" s="9">
        <v>-0.9172603787261256</v>
      </c>
    </row>
    <row r="258" spans="1:7">
      <c r="A258" t="s">
        <v>77</v>
      </c>
      <c r="B258" t="s">
        <v>56</v>
      </c>
      <c r="C258">
        <v>6200</v>
      </c>
      <c r="D258" s="8">
        <v>76194.11</v>
      </c>
      <c r="E258" s="8">
        <v>15440.23</v>
      </c>
      <c r="F258" s="8">
        <v>60753.88</v>
      </c>
      <c r="G258" s="9">
        <v>0.7973566460714615</v>
      </c>
    </row>
    <row r="259" spans="1:7">
      <c r="A259" t="s">
        <v>77</v>
      </c>
      <c r="B259" t="s">
        <v>56</v>
      </c>
      <c r="C259">
        <v>6300</v>
      </c>
      <c r="D259" s="8">
        <v>38677.98</v>
      </c>
      <c r="E259" s="8">
        <v>0</v>
      </c>
      <c r="F259" s="8">
        <v>38677.98</v>
      </c>
      <c r="G259" s="9">
        <v>1</v>
      </c>
    </row>
    <row r="260" spans="1:7">
      <c r="A260" t="s">
        <v>77</v>
      </c>
      <c r="B260" t="s">
        <v>56</v>
      </c>
      <c r="C260">
        <v>6400</v>
      </c>
      <c r="D260" s="8">
        <v>76179.61</v>
      </c>
      <c r="E260" s="8">
        <v>28744.49</v>
      </c>
      <c r="F260" s="8">
        <v>47435.12</v>
      </c>
      <c r="G260" s="9">
        <v>0.6226747550952283</v>
      </c>
    </row>
    <row r="261" spans="1:7">
      <c r="A261" t="s">
        <v>77</v>
      </c>
      <c r="B261" t="s">
        <v>56</v>
      </c>
      <c r="C261">
        <v>6500</v>
      </c>
      <c r="D261" s="8">
        <v>17537.36</v>
      </c>
      <c r="E261" s="8">
        <v>31930.86</v>
      </c>
      <c r="F261" s="8">
        <v>-14393.5</v>
      </c>
      <c r="G261" s="9">
        <v>-0.8207335653712985</v>
      </c>
    </row>
    <row r="262" spans="1:7">
      <c r="A262" t="s">
        <v>77</v>
      </c>
      <c r="B262" t="s">
        <v>81</v>
      </c>
      <c r="C262">
        <v>5000</v>
      </c>
      <c r="D262" s="8">
        <v>20891.76</v>
      </c>
      <c r="E262" s="8">
        <v>38714.12</v>
      </c>
      <c r="F262" s="8">
        <v>-17822.36</v>
      </c>
      <c r="G262" s="9">
        <v>-0.8530808318686413</v>
      </c>
    </row>
    <row r="263" spans="1:7">
      <c r="A263" t="s">
        <v>77</v>
      </c>
      <c r="B263" t="s">
        <v>81</v>
      </c>
      <c r="C263">
        <v>6100</v>
      </c>
      <c r="D263" s="8">
        <v>19454.46</v>
      </c>
      <c r="E263" s="8">
        <v>73219.64</v>
      </c>
      <c r="F263" s="8">
        <v>-53765.18</v>
      </c>
      <c r="G263" s="9">
        <v>-2.763642887029504</v>
      </c>
    </row>
    <row r="264" spans="1:7">
      <c r="A264" t="s">
        <v>77</v>
      </c>
      <c r="B264" t="s">
        <v>81</v>
      </c>
      <c r="C264">
        <v>6200</v>
      </c>
      <c r="D264" s="8">
        <v>8200.690000000001</v>
      </c>
      <c r="E264" s="8">
        <v>2815.4</v>
      </c>
      <c r="F264" s="8">
        <v>5385.290000000001</v>
      </c>
      <c r="G264" s="9">
        <v>0.6566874250825236</v>
      </c>
    </row>
    <row r="265" spans="1:7">
      <c r="A265" t="s">
        <v>77</v>
      </c>
      <c r="B265" t="s">
        <v>81</v>
      </c>
      <c r="C265">
        <v>6300</v>
      </c>
      <c r="D265" s="8">
        <v>10877.64</v>
      </c>
      <c r="E265" s="8">
        <v>19091.61</v>
      </c>
      <c r="F265" s="8">
        <v>-8213.970000000001</v>
      </c>
      <c r="G265" s="9">
        <v>-0.755124273279866</v>
      </c>
    </row>
    <row r="266" spans="1:7">
      <c r="A266" t="s">
        <v>77</v>
      </c>
      <c r="B266" t="s">
        <v>81</v>
      </c>
      <c r="C266">
        <v>6400</v>
      </c>
      <c r="D266" s="8">
        <v>56234.41</v>
      </c>
      <c r="E266" s="8">
        <v>56430.62</v>
      </c>
      <c r="F266" s="8">
        <v>-196.2099999999991</v>
      </c>
      <c r="G266" s="9">
        <v>-0.003489144813647002</v>
      </c>
    </row>
    <row r="267" spans="1:7">
      <c r="A267" t="s">
        <v>77</v>
      </c>
      <c r="B267" t="s">
        <v>81</v>
      </c>
      <c r="C267">
        <v>6500</v>
      </c>
      <c r="D267" s="8">
        <v>20143.95</v>
      </c>
      <c r="E267" s="8">
        <v>1438.43</v>
      </c>
      <c r="F267" s="8">
        <v>18705.52</v>
      </c>
      <c r="G267" s="9">
        <v>0.9285924557993839</v>
      </c>
    </row>
    <row r="268" spans="1:7">
      <c r="A268" t="s">
        <v>77</v>
      </c>
      <c r="B268" t="s">
        <v>82</v>
      </c>
      <c r="C268">
        <v>5000</v>
      </c>
      <c r="D268" s="8">
        <v>66692.3</v>
      </c>
      <c r="E268" s="8">
        <v>56609.12</v>
      </c>
      <c r="F268" s="8">
        <v>10083.18000000001</v>
      </c>
      <c r="G268" s="9">
        <v>0.1511895676112536</v>
      </c>
    </row>
    <row r="269" spans="1:7">
      <c r="A269" t="s">
        <v>77</v>
      </c>
      <c r="B269" t="s">
        <v>82</v>
      </c>
      <c r="C269">
        <v>6100</v>
      </c>
      <c r="D269" s="8">
        <v>16090.87</v>
      </c>
      <c r="E269" s="8">
        <v>26982.2</v>
      </c>
      <c r="F269" s="8">
        <v>-10891.33</v>
      </c>
      <c r="G269" s="9">
        <v>-0.6768639607429554</v>
      </c>
    </row>
    <row r="270" spans="1:7">
      <c r="A270" t="s">
        <v>77</v>
      </c>
      <c r="B270" t="s">
        <v>82</v>
      </c>
      <c r="C270">
        <v>6200</v>
      </c>
      <c r="D270" s="8">
        <v>49628.57</v>
      </c>
      <c r="E270" s="8">
        <v>16926.17</v>
      </c>
      <c r="F270" s="8">
        <v>32702.4</v>
      </c>
      <c r="G270" s="9">
        <v>0.6589430241491947</v>
      </c>
    </row>
    <row r="271" spans="1:7">
      <c r="A271" t="s">
        <v>77</v>
      </c>
      <c r="B271" t="s">
        <v>82</v>
      </c>
      <c r="C271">
        <v>6300</v>
      </c>
      <c r="D271" s="8">
        <v>28981.21</v>
      </c>
      <c r="E271" s="8">
        <v>17118.52</v>
      </c>
      <c r="F271" s="8">
        <v>11862.69</v>
      </c>
      <c r="G271" s="9">
        <v>0.4093234892538993</v>
      </c>
    </row>
    <row r="272" spans="1:7">
      <c r="A272" t="s">
        <v>77</v>
      </c>
      <c r="B272" t="s">
        <v>82</v>
      </c>
      <c r="C272">
        <v>6400</v>
      </c>
      <c r="D272" s="8">
        <v>59532.73</v>
      </c>
      <c r="E272" s="8">
        <v>0</v>
      </c>
      <c r="F272" s="8">
        <v>59532.73</v>
      </c>
      <c r="G272" s="9">
        <v>1</v>
      </c>
    </row>
    <row r="273" spans="1:7">
      <c r="A273" t="s">
        <v>77</v>
      </c>
      <c r="B273" t="s">
        <v>82</v>
      </c>
      <c r="C273">
        <v>6500</v>
      </c>
      <c r="D273" s="8">
        <v>65550.78</v>
      </c>
      <c r="E273" s="8">
        <v>0</v>
      </c>
      <c r="F273" s="8">
        <v>65550.78</v>
      </c>
      <c r="G273" s="9">
        <v>1</v>
      </c>
    </row>
    <row r="274" spans="1:7">
      <c r="A274" t="s">
        <v>78</v>
      </c>
      <c r="B274" t="s">
        <v>55</v>
      </c>
      <c r="C274">
        <v>5000</v>
      </c>
      <c r="D274" s="8">
        <v>11527.06</v>
      </c>
      <c r="E274" s="8">
        <v>45145.63</v>
      </c>
      <c r="F274" s="8">
        <v>-33618.57</v>
      </c>
      <c r="G274" s="9">
        <v>-2.91649128225237</v>
      </c>
    </row>
    <row r="275" spans="1:7">
      <c r="A275" t="s">
        <v>78</v>
      </c>
      <c r="B275" t="s">
        <v>55</v>
      </c>
      <c r="C275">
        <v>6100</v>
      </c>
      <c r="D275" s="8">
        <v>46727.32</v>
      </c>
      <c r="E275" s="8">
        <v>17145.56</v>
      </c>
      <c r="F275" s="8">
        <v>29581.76</v>
      </c>
      <c r="G275" s="9">
        <v>0.6330720443629123</v>
      </c>
    </row>
    <row r="276" spans="1:7">
      <c r="A276" t="s">
        <v>78</v>
      </c>
      <c r="B276" t="s">
        <v>55</v>
      </c>
      <c r="C276">
        <v>6200</v>
      </c>
      <c r="D276" s="8">
        <v>46404.06</v>
      </c>
      <c r="E276" s="8">
        <v>897.9299999999999</v>
      </c>
      <c r="F276" s="8">
        <v>45506.13</v>
      </c>
      <c r="G276" s="9">
        <v>0.980649753491397</v>
      </c>
    </row>
    <row r="277" spans="1:7">
      <c r="A277" t="s">
        <v>78</v>
      </c>
      <c r="B277" t="s">
        <v>55</v>
      </c>
      <c r="C277">
        <v>6300</v>
      </c>
      <c r="D277" s="8">
        <v>69246.81</v>
      </c>
      <c r="E277" s="8">
        <v>3825.35</v>
      </c>
      <c r="F277" s="8">
        <v>65421.46</v>
      </c>
      <c r="G277" s="9">
        <v>0.9447577440751422</v>
      </c>
    </row>
    <row r="278" spans="1:7">
      <c r="A278" t="s">
        <v>78</v>
      </c>
      <c r="B278" t="s">
        <v>55</v>
      </c>
      <c r="C278">
        <v>6400</v>
      </c>
      <c r="D278" s="8">
        <v>43976.61</v>
      </c>
      <c r="E278" s="8">
        <v>47308.19</v>
      </c>
      <c r="F278" s="8">
        <v>-3331.580000000002</v>
      </c>
      <c r="G278" s="9">
        <v>-0.07575799953657186</v>
      </c>
    </row>
    <row r="279" spans="1:7">
      <c r="A279" t="s">
        <v>78</v>
      </c>
      <c r="B279" t="s">
        <v>55</v>
      </c>
      <c r="C279">
        <v>6500</v>
      </c>
      <c r="D279" s="8">
        <v>73787.14</v>
      </c>
      <c r="E279" s="8">
        <v>58151.64</v>
      </c>
      <c r="F279" s="8">
        <v>15635.5</v>
      </c>
      <c r="G279" s="9">
        <v>0.2119000682232703</v>
      </c>
    </row>
    <row r="280" spans="1:7">
      <c r="A280" t="s">
        <v>78</v>
      </c>
      <c r="B280" t="s">
        <v>57</v>
      </c>
      <c r="C280">
        <v>5000</v>
      </c>
      <c r="D280" s="8">
        <v>5927.28</v>
      </c>
      <c r="E280" s="8">
        <v>20444.73</v>
      </c>
      <c r="F280" s="8">
        <v>-14517.45</v>
      </c>
      <c r="G280" s="9">
        <v>-2.449260031582784</v>
      </c>
    </row>
    <row r="281" spans="1:7">
      <c r="A281" t="s">
        <v>78</v>
      </c>
      <c r="B281" t="s">
        <v>57</v>
      </c>
      <c r="C281">
        <v>6100</v>
      </c>
      <c r="D281" s="8">
        <v>57530.91</v>
      </c>
      <c r="E281" s="8">
        <v>0</v>
      </c>
      <c r="F281" s="8">
        <v>57530.91</v>
      </c>
      <c r="G281" s="9">
        <v>1</v>
      </c>
    </row>
    <row r="282" spans="1:7">
      <c r="A282" t="s">
        <v>78</v>
      </c>
      <c r="B282" t="s">
        <v>57</v>
      </c>
      <c r="C282">
        <v>6200</v>
      </c>
      <c r="D282" s="8">
        <v>49068.21</v>
      </c>
      <c r="E282" s="8">
        <v>1397.21</v>
      </c>
      <c r="F282" s="8">
        <v>47671</v>
      </c>
      <c r="G282" s="9">
        <v>0.9715251483598036</v>
      </c>
    </row>
    <row r="283" spans="1:7">
      <c r="A283" t="s">
        <v>78</v>
      </c>
      <c r="B283" t="s">
        <v>57</v>
      </c>
      <c r="C283">
        <v>6300</v>
      </c>
      <c r="D283" s="8">
        <v>63626.42</v>
      </c>
      <c r="E283" s="8">
        <v>0</v>
      </c>
      <c r="F283" s="8">
        <v>63626.42</v>
      </c>
      <c r="G283" s="9">
        <v>1</v>
      </c>
    </row>
    <row r="284" spans="1:7">
      <c r="A284" t="s">
        <v>78</v>
      </c>
      <c r="B284" t="s">
        <v>57</v>
      </c>
      <c r="C284">
        <v>6400</v>
      </c>
      <c r="D284" s="8">
        <v>13438.91</v>
      </c>
      <c r="E284" s="8">
        <v>15562.83</v>
      </c>
      <c r="F284" s="8">
        <v>-2123.92</v>
      </c>
      <c r="G284" s="9">
        <v>-0.1580425793460928</v>
      </c>
    </row>
    <row r="285" spans="1:7">
      <c r="A285" t="s">
        <v>78</v>
      </c>
      <c r="B285" t="s">
        <v>57</v>
      </c>
      <c r="C285">
        <v>6500</v>
      </c>
      <c r="D285" s="8">
        <v>16223.17</v>
      </c>
      <c r="E285" s="8">
        <v>31960.08</v>
      </c>
      <c r="F285" s="8">
        <v>-15736.91</v>
      </c>
      <c r="G285" s="9">
        <v>-0.9700268196659471</v>
      </c>
    </row>
    <row r="286" spans="1:7">
      <c r="A286" t="s">
        <v>78</v>
      </c>
      <c r="B286" t="s">
        <v>56</v>
      </c>
      <c r="C286">
        <v>5000</v>
      </c>
      <c r="D286" s="8">
        <v>47494.54</v>
      </c>
      <c r="E286" s="8">
        <v>0</v>
      </c>
      <c r="F286" s="8">
        <v>47494.54</v>
      </c>
      <c r="G286" s="9">
        <v>1</v>
      </c>
    </row>
    <row r="287" spans="1:7">
      <c r="A287" t="s">
        <v>78</v>
      </c>
      <c r="B287" t="s">
        <v>56</v>
      </c>
      <c r="C287">
        <v>6100</v>
      </c>
      <c r="D287" s="8">
        <v>48700.78</v>
      </c>
      <c r="E287" s="8">
        <v>0</v>
      </c>
      <c r="F287" s="8">
        <v>48700.78</v>
      </c>
      <c r="G287" s="9">
        <v>1</v>
      </c>
    </row>
    <row r="288" spans="1:7">
      <c r="A288" t="s">
        <v>78</v>
      </c>
      <c r="B288" t="s">
        <v>56</v>
      </c>
      <c r="C288">
        <v>6200</v>
      </c>
      <c r="D288" s="8">
        <v>77362.37</v>
      </c>
      <c r="E288" s="8">
        <v>51464.69</v>
      </c>
      <c r="F288" s="8">
        <v>25897.67999999999</v>
      </c>
      <c r="G288" s="9">
        <v>0.3347581000943998</v>
      </c>
    </row>
    <row r="289" spans="1:7">
      <c r="A289" t="s">
        <v>78</v>
      </c>
      <c r="B289" t="s">
        <v>56</v>
      </c>
      <c r="C289">
        <v>6300</v>
      </c>
      <c r="D289" s="8">
        <v>12515.3</v>
      </c>
      <c r="E289" s="8">
        <v>41990.67</v>
      </c>
      <c r="F289" s="8">
        <v>-29475.37</v>
      </c>
      <c r="G289" s="9">
        <v>-2.355146900194162</v>
      </c>
    </row>
    <row r="290" spans="1:7">
      <c r="A290" t="s">
        <v>78</v>
      </c>
      <c r="B290" t="s">
        <v>56</v>
      </c>
      <c r="C290">
        <v>6400</v>
      </c>
      <c r="D290" s="8">
        <v>12922.61</v>
      </c>
      <c r="E290" s="8">
        <v>16119.06</v>
      </c>
      <c r="F290" s="8">
        <v>-3196.449999999999</v>
      </c>
      <c r="G290" s="9">
        <v>-0.2473532823477609</v>
      </c>
    </row>
    <row r="291" spans="1:7">
      <c r="A291" t="s">
        <v>78</v>
      </c>
      <c r="B291" t="s">
        <v>56</v>
      </c>
      <c r="C291">
        <v>6500</v>
      </c>
      <c r="D291" s="8">
        <v>63465.85</v>
      </c>
      <c r="E291" s="8">
        <v>37080.66</v>
      </c>
      <c r="F291" s="8">
        <v>26385.19</v>
      </c>
      <c r="G291" s="9">
        <v>0.4157383852890963</v>
      </c>
    </row>
    <row r="292" spans="1:7">
      <c r="A292" t="s">
        <v>78</v>
      </c>
      <c r="B292" t="s">
        <v>81</v>
      </c>
      <c r="C292">
        <v>5000</v>
      </c>
      <c r="D292" s="8">
        <v>63930.92</v>
      </c>
      <c r="E292" s="8">
        <v>49696.94</v>
      </c>
      <c r="F292" s="8">
        <v>14233.98</v>
      </c>
      <c r="G292" s="9">
        <v>0.2226462563028969</v>
      </c>
    </row>
    <row r="293" spans="1:7">
      <c r="A293" t="s">
        <v>78</v>
      </c>
      <c r="B293" t="s">
        <v>81</v>
      </c>
      <c r="C293">
        <v>6100</v>
      </c>
      <c r="D293" s="8">
        <v>70060.64999999999</v>
      </c>
      <c r="E293" s="8">
        <v>22953.73</v>
      </c>
      <c r="F293" s="8">
        <v>47106.92</v>
      </c>
      <c r="G293" s="9">
        <v>0.6723734364439954</v>
      </c>
    </row>
    <row r="294" spans="1:7">
      <c r="A294" t="s">
        <v>78</v>
      </c>
      <c r="B294" t="s">
        <v>81</v>
      </c>
      <c r="C294">
        <v>6200</v>
      </c>
      <c r="D294" s="8">
        <v>71010.17999999999</v>
      </c>
      <c r="E294" s="8">
        <v>46931.88</v>
      </c>
      <c r="F294" s="8">
        <v>24078.29999999999</v>
      </c>
      <c r="G294" s="9">
        <v>0.3390823681900256</v>
      </c>
    </row>
    <row r="295" spans="1:7">
      <c r="A295" t="s">
        <v>78</v>
      </c>
      <c r="B295" t="s">
        <v>81</v>
      </c>
      <c r="C295">
        <v>6300</v>
      </c>
      <c r="D295" s="8">
        <v>70842.02</v>
      </c>
      <c r="E295" s="8">
        <v>0</v>
      </c>
      <c r="F295" s="8">
        <v>70842.02</v>
      </c>
      <c r="G295" s="9">
        <v>1</v>
      </c>
    </row>
    <row r="296" spans="1:7">
      <c r="A296" t="s">
        <v>78</v>
      </c>
      <c r="B296" t="s">
        <v>81</v>
      </c>
      <c r="C296">
        <v>6400</v>
      </c>
      <c r="D296" s="8">
        <v>24810.25</v>
      </c>
      <c r="E296" s="8">
        <v>3216.02</v>
      </c>
      <c r="F296" s="8">
        <v>21594.23</v>
      </c>
      <c r="G296" s="9">
        <v>0.8703753488981368</v>
      </c>
    </row>
    <row r="297" spans="1:7">
      <c r="A297" t="s">
        <v>78</v>
      </c>
      <c r="B297" t="s">
        <v>81</v>
      </c>
      <c r="C297">
        <v>6500</v>
      </c>
      <c r="D297" s="8">
        <v>54109.08</v>
      </c>
      <c r="E297" s="8">
        <v>24530.07</v>
      </c>
      <c r="F297" s="8">
        <v>29579.01</v>
      </c>
      <c r="G297" s="9">
        <v>0.5466552009385486</v>
      </c>
    </row>
    <row r="298" spans="1:7">
      <c r="A298" t="s">
        <v>78</v>
      </c>
      <c r="B298" t="s">
        <v>82</v>
      </c>
      <c r="C298">
        <v>5000</v>
      </c>
      <c r="D298" s="8">
        <v>47901.74</v>
      </c>
      <c r="E298" s="8">
        <v>0</v>
      </c>
      <c r="F298" s="8">
        <v>47901.74</v>
      </c>
      <c r="G298" s="9">
        <v>1</v>
      </c>
    </row>
    <row r="299" spans="1:7">
      <c r="A299" t="s">
        <v>78</v>
      </c>
      <c r="B299" t="s">
        <v>82</v>
      </c>
      <c r="C299">
        <v>6100</v>
      </c>
      <c r="D299" s="8">
        <v>40478.5</v>
      </c>
      <c r="E299" s="8">
        <v>21629.28</v>
      </c>
      <c r="F299" s="8">
        <v>18849.22</v>
      </c>
      <c r="G299" s="9">
        <v>0.465660041750559</v>
      </c>
    </row>
    <row r="300" spans="1:7">
      <c r="A300" t="s">
        <v>78</v>
      </c>
      <c r="B300" t="s">
        <v>82</v>
      </c>
      <c r="C300">
        <v>6200</v>
      </c>
      <c r="D300" s="8">
        <v>17914.98</v>
      </c>
      <c r="E300" s="8">
        <v>5756.98</v>
      </c>
      <c r="F300" s="8">
        <v>12158</v>
      </c>
      <c r="G300" s="9">
        <v>0.6786499343007919</v>
      </c>
    </row>
    <row r="301" spans="1:7">
      <c r="A301" t="s">
        <v>78</v>
      </c>
      <c r="B301" t="s">
        <v>82</v>
      </c>
      <c r="C301">
        <v>6300</v>
      </c>
      <c r="D301" s="8">
        <v>35223.05</v>
      </c>
      <c r="E301" s="8">
        <v>26100.4</v>
      </c>
      <c r="F301" s="8">
        <v>9122.650000000001</v>
      </c>
      <c r="G301" s="9">
        <v>0.2589965945595285</v>
      </c>
    </row>
    <row r="302" spans="1:7">
      <c r="A302" t="s">
        <v>78</v>
      </c>
      <c r="B302" t="s">
        <v>82</v>
      </c>
      <c r="C302">
        <v>6400</v>
      </c>
      <c r="D302" s="8">
        <v>51368.34</v>
      </c>
      <c r="E302" s="8">
        <v>40711.65</v>
      </c>
      <c r="F302" s="8">
        <v>10656.69</v>
      </c>
      <c r="G302" s="9">
        <v>0.2074563826668332</v>
      </c>
    </row>
    <row r="303" spans="1:7">
      <c r="A303" t="s">
        <v>78</v>
      </c>
      <c r="B303" t="s">
        <v>82</v>
      </c>
      <c r="C303">
        <v>6500</v>
      </c>
      <c r="D303" s="8">
        <v>56060.96</v>
      </c>
      <c r="E303" s="8">
        <v>0</v>
      </c>
      <c r="F303" s="8">
        <v>56060.96</v>
      </c>
      <c r="G303" s="9">
        <v>1</v>
      </c>
    </row>
    <row r="304" spans="1:7">
      <c r="A304" t="s">
        <v>79</v>
      </c>
      <c r="B304" t="s">
        <v>55</v>
      </c>
      <c r="C304">
        <v>5000</v>
      </c>
      <c r="D304" s="8">
        <v>35128.99</v>
      </c>
      <c r="E304" s="8">
        <v>38646.87</v>
      </c>
      <c r="F304" s="8">
        <v>-3517.879999999997</v>
      </c>
      <c r="G304" s="9">
        <v>-0.1001417917224491</v>
      </c>
    </row>
    <row r="305" spans="1:7">
      <c r="A305" t="s">
        <v>79</v>
      </c>
      <c r="B305" t="s">
        <v>55</v>
      </c>
      <c r="C305">
        <v>6100</v>
      </c>
      <c r="D305" s="8">
        <v>34684.46</v>
      </c>
      <c r="E305" s="8">
        <v>2287.84</v>
      </c>
      <c r="F305" s="8">
        <v>32396.62</v>
      </c>
      <c r="G305" s="9">
        <v>0.9340384714076563</v>
      </c>
    </row>
    <row r="306" spans="1:7">
      <c r="A306" t="s">
        <v>79</v>
      </c>
      <c r="B306" t="s">
        <v>55</v>
      </c>
      <c r="C306">
        <v>6200</v>
      </c>
      <c r="D306" s="8">
        <v>70921.82000000001</v>
      </c>
      <c r="E306" s="8">
        <v>51435.75</v>
      </c>
      <c r="F306" s="8">
        <v>19486.07000000001</v>
      </c>
      <c r="G306" s="9">
        <v>0.2747542293753883</v>
      </c>
    </row>
    <row r="307" spans="1:7">
      <c r="A307" t="s">
        <v>79</v>
      </c>
      <c r="B307" t="s">
        <v>55</v>
      </c>
      <c r="C307">
        <v>6300</v>
      </c>
      <c r="D307" s="8">
        <v>56788.53</v>
      </c>
      <c r="E307" s="8">
        <v>41120.09</v>
      </c>
      <c r="F307" s="8">
        <v>15668.44</v>
      </c>
      <c r="G307" s="9">
        <v>0.2759085329379014</v>
      </c>
    </row>
    <row r="308" spans="1:7">
      <c r="A308" t="s">
        <v>79</v>
      </c>
      <c r="B308" t="s">
        <v>55</v>
      </c>
      <c r="C308">
        <v>6400</v>
      </c>
      <c r="D308" s="8">
        <v>8696.82</v>
      </c>
      <c r="E308" s="8">
        <v>1608.44</v>
      </c>
      <c r="F308" s="8">
        <v>7088.379999999999</v>
      </c>
      <c r="G308" s="9">
        <v>0.8150542382158076</v>
      </c>
    </row>
    <row r="309" spans="1:7">
      <c r="A309" t="s">
        <v>79</v>
      </c>
      <c r="B309" t="s">
        <v>55</v>
      </c>
      <c r="C309">
        <v>6500</v>
      </c>
      <c r="D309" s="8">
        <v>40641.36</v>
      </c>
      <c r="E309" s="8">
        <v>0</v>
      </c>
      <c r="F309" s="8">
        <v>40641.36</v>
      </c>
      <c r="G309" s="9">
        <v>1</v>
      </c>
    </row>
    <row r="310" spans="1:7">
      <c r="A310" t="s">
        <v>79</v>
      </c>
      <c r="B310" t="s">
        <v>57</v>
      </c>
      <c r="C310">
        <v>5000</v>
      </c>
      <c r="D310" s="8">
        <v>25143.83</v>
      </c>
      <c r="E310" s="8">
        <v>11515.1</v>
      </c>
      <c r="F310" s="8">
        <v>13628.73</v>
      </c>
      <c r="G310" s="9">
        <v>0.5420307884677872</v>
      </c>
    </row>
    <row r="311" spans="1:7">
      <c r="A311" t="s">
        <v>79</v>
      </c>
      <c r="B311" t="s">
        <v>57</v>
      </c>
      <c r="C311">
        <v>6100</v>
      </c>
      <c r="D311" s="8">
        <v>32933.05</v>
      </c>
      <c r="E311" s="8">
        <v>56287.55</v>
      </c>
      <c r="F311" s="8">
        <v>-23354.5</v>
      </c>
      <c r="G311" s="9">
        <v>-0.7091508378361554</v>
      </c>
    </row>
    <row r="312" spans="1:7">
      <c r="A312" t="s">
        <v>79</v>
      </c>
      <c r="B312" t="s">
        <v>57</v>
      </c>
      <c r="C312">
        <v>6200</v>
      </c>
      <c r="D312" s="8">
        <v>30339.96</v>
      </c>
      <c r="E312" s="8">
        <v>53203.15</v>
      </c>
      <c r="F312" s="8">
        <v>-22863.19</v>
      </c>
      <c r="G312" s="9">
        <v>-0.7535669130743746</v>
      </c>
    </row>
    <row r="313" spans="1:7">
      <c r="A313" t="s">
        <v>79</v>
      </c>
      <c r="B313" t="s">
        <v>57</v>
      </c>
      <c r="C313">
        <v>6300</v>
      </c>
      <c r="D313" s="8">
        <v>64523.9</v>
      </c>
      <c r="E313" s="8">
        <v>0</v>
      </c>
      <c r="F313" s="8">
        <v>64523.9</v>
      </c>
      <c r="G313" s="9">
        <v>1</v>
      </c>
    </row>
    <row r="314" spans="1:7">
      <c r="A314" t="s">
        <v>79</v>
      </c>
      <c r="B314" t="s">
        <v>57</v>
      </c>
      <c r="C314">
        <v>6400</v>
      </c>
      <c r="D314" s="8">
        <v>28321.2</v>
      </c>
      <c r="E314" s="8">
        <v>31809.69</v>
      </c>
      <c r="F314" s="8">
        <v>-3488.490000000002</v>
      </c>
      <c r="G314" s="9">
        <v>-0.1231759247489514</v>
      </c>
    </row>
    <row r="315" spans="1:7">
      <c r="A315" t="s">
        <v>79</v>
      </c>
      <c r="B315" t="s">
        <v>57</v>
      </c>
      <c r="C315">
        <v>6500</v>
      </c>
      <c r="D315" s="8">
        <v>68213.49000000001</v>
      </c>
      <c r="E315" s="8">
        <v>22337.63</v>
      </c>
      <c r="F315" s="8">
        <v>45875.86</v>
      </c>
      <c r="G315" s="9">
        <v>0.6725335413860219</v>
      </c>
    </row>
    <row r="316" spans="1:7">
      <c r="A316" t="s">
        <v>79</v>
      </c>
      <c r="B316" t="s">
        <v>56</v>
      </c>
      <c r="C316">
        <v>5000</v>
      </c>
      <c r="D316" s="8">
        <v>69367.61</v>
      </c>
      <c r="E316" s="8">
        <v>0</v>
      </c>
      <c r="F316" s="8">
        <v>69367.61</v>
      </c>
      <c r="G316" s="9">
        <v>1</v>
      </c>
    </row>
    <row r="317" spans="1:7">
      <c r="A317" t="s">
        <v>79</v>
      </c>
      <c r="B317" t="s">
        <v>56</v>
      </c>
      <c r="C317">
        <v>6100</v>
      </c>
      <c r="D317" s="8">
        <v>56363.9</v>
      </c>
      <c r="E317" s="8">
        <v>17162.67</v>
      </c>
      <c r="F317" s="8">
        <v>39201.23</v>
      </c>
      <c r="G317" s="9">
        <v>0.6955024403918111</v>
      </c>
    </row>
    <row r="318" spans="1:7">
      <c r="A318" t="s">
        <v>79</v>
      </c>
      <c r="B318" t="s">
        <v>56</v>
      </c>
      <c r="C318">
        <v>6200</v>
      </c>
      <c r="D318" s="8">
        <v>77937.25</v>
      </c>
      <c r="E318" s="8">
        <v>0</v>
      </c>
      <c r="F318" s="8">
        <v>77937.25</v>
      </c>
      <c r="G318" s="9">
        <v>1</v>
      </c>
    </row>
    <row r="319" spans="1:7">
      <c r="A319" t="s">
        <v>79</v>
      </c>
      <c r="B319" t="s">
        <v>56</v>
      </c>
      <c r="C319">
        <v>6300</v>
      </c>
      <c r="D319" s="8">
        <v>22096.81</v>
      </c>
      <c r="E319" s="8">
        <v>48205.02</v>
      </c>
      <c r="F319" s="8">
        <v>-26108.21</v>
      </c>
      <c r="G319" s="9">
        <v>-1.181537516048696</v>
      </c>
    </row>
    <row r="320" spans="1:7">
      <c r="A320" t="s">
        <v>79</v>
      </c>
      <c r="B320" t="s">
        <v>56</v>
      </c>
      <c r="C320">
        <v>6400</v>
      </c>
      <c r="D320" s="8">
        <v>27536.03</v>
      </c>
      <c r="E320" s="8">
        <v>19974.98</v>
      </c>
      <c r="F320" s="8">
        <v>7561.049999999999</v>
      </c>
      <c r="G320" s="9">
        <v>0.2745875131600307</v>
      </c>
    </row>
    <row r="321" spans="1:7">
      <c r="A321" t="s">
        <v>79</v>
      </c>
      <c r="B321" t="s">
        <v>56</v>
      </c>
      <c r="C321">
        <v>6500</v>
      </c>
      <c r="D321" s="8">
        <v>60779.27</v>
      </c>
      <c r="E321" s="8">
        <v>15363.18</v>
      </c>
      <c r="F321" s="8">
        <v>45416.09</v>
      </c>
      <c r="G321" s="9">
        <v>0.7472299354697745</v>
      </c>
    </row>
    <row r="322" spans="1:7">
      <c r="A322" t="s">
        <v>79</v>
      </c>
      <c r="B322" t="s">
        <v>81</v>
      </c>
      <c r="C322">
        <v>5000</v>
      </c>
      <c r="D322" s="8">
        <v>63052.32</v>
      </c>
      <c r="E322" s="8">
        <v>8318.34</v>
      </c>
      <c r="F322" s="8">
        <v>54733.98</v>
      </c>
      <c r="G322" s="9">
        <v>0.868072419857033</v>
      </c>
    </row>
    <row r="323" spans="1:7">
      <c r="A323" t="s">
        <v>79</v>
      </c>
      <c r="B323" t="s">
        <v>81</v>
      </c>
      <c r="C323">
        <v>6100</v>
      </c>
      <c r="D323" s="8">
        <v>29065.12</v>
      </c>
      <c r="E323" s="8">
        <v>10682.73</v>
      </c>
      <c r="F323" s="8">
        <v>18382.39</v>
      </c>
      <c r="G323" s="9">
        <v>0.6324553278981817</v>
      </c>
    </row>
    <row r="324" spans="1:7">
      <c r="A324" t="s">
        <v>79</v>
      </c>
      <c r="B324" t="s">
        <v>81</v>
      </c>
      <c r="C324">
        <v>6200</v>
      </c>
      <c r="D324" s="8">
        <v>59659.96</v>
      </c>
      <c r="E324" s="8">
        <v>35354.07</v>
      </c>
      <c r="F324" s="8">
        <v>24305.89</v>
      </c>
      <c r="G324" s="9">
        <v>0.4074070783822182</v>
      </c>
    </row>
    <row r="325" spans="1:7">
      <c r="A325" t="s">
        <v>79</v>
      </c>
      <c r="B325" t="s">
        <v>81</v>
      </c>
      <c r="C325">
        <v>6300</v>
      </c>
      <c r="D325" s="8">
        <v>50373.43</v>
      </c>
      <c r="E325" s="8">
        <v>24901.25</v>
      </c>
      <c r="F325" s="8">
        <v>25472.18</v>
      </c>
      <c r="G325" s="9">
        <v>0.5056669756258408</v>
      </c>
    </row>
    <row r="326" spans="1:7">
      <c r="A326" t="s">
        <v>79</v>
      </c>
      <c r="B326" t="s">
        <v>81</v>
      </c>
      <c r="C326">
        <v>6400</v>
      </c>
      <c r="D326" s="8">
        <v>11696.51</v>
      </c>
      <c r="E326" s="8">
        <v>42351.46</v>
      </c>
      <c r="F326" s="8">
        <v>-30654.95</v>
      </c>
      <c r="G326" s="9">
        <v>-2.620862975366156</v>
      </c>
    </row>
    <row r="327" spans="1:7">
      <c r="A327" t="s">
        <v>79</v>
      </c>
      <c r="B327" t="s">
        <v>81</v>
      </c>
      <c r="C327">
        <v>6500</v>
      </c>
      <c r="D327" s="8">
        <v>38128.74</v>
      </c>
      <c r="E327" s="8">
        <v>16155.28</v>
      </c>
      <c r="F327" s="8">
        <v>21973.46</v>
      </c>
      <c r="G327" s="9">
        <v>0.5762965154369118</v>
      </c>
    </row>
    <row r="328" spans="1:7">
      <c r="A328" t="s">
        <v>79</v>
      </c>
      <c r="B328" t="s">
        <v>82</v>
      </c>
      <c r="C328">
        <v>5000</v>
      </c>
      <c r="D328" s="8">
        <v>73507.46000000001</v>
      </c>
      <c r="E328" s="8">
        <v>28116.21</v>
      </c>
      <c r="F328" s="8">
        <v>45391.25000000001</v>
      </c>
      <c r="G328" s="9">
        <v>0.6175053525179621</v>
      </c>
    </row>
    <row r="329" spans="1:7">
      <c r="A329" t="s">
        <v>79</v>
      </c>
      <c r="B329" t="s">
        <v>82</v>
      </c>
      <c r="C329">
        <v>6100</v>
      </c>
      <c r="D329" s="8">
        <v>35537.78</v>
      </c>
      <c r="E329" s="8">
        <v>0</v>
      </c>
      <c r="F329" s="8">
        <v>35537.78</v>
      </c>
      <c r="G329" s="9">
        <v>1</v>
      </c>
    </row>
    <row r="330" spans="1:7">
      <c r="A330" t="s">
        <v>79</v>
      </c>
      <c r="B330" t="s">
        <v>82</v>
      </c>
      <c r="C330">
        <v>6200</v>
      </c>
      <c r="D330" s="8">
        <v>41334.52</v>
      </c>
      <c r="E330" s="8">
        <v>23817.91</v>
      </c>
      <c r="F330" s="8">
        <v>17516.61</v>
      </c>
      <c r="G330" s="9">
        <v>0.4237767851181046</v>
      </c>
    </row>
    <row r="331" spans="1:7">
      <c r="A331" t="s">
        <v>79</v>
      </c>
      <c r="B331" t="s">
        <v>82</v>
      </c>
      <c r="C331">
        <v>6300</v>
      </c>
      <c r="D331" s="8">
        <v>43737.61</v>
      </c>
      <c r="E331" s="8">
        <v>5664.81</v>
      </c>
      <c r="F331" s="8">
        <v>38072.8</v>
      </c>
      <c r="G331" s="9">
        <v>0.8704819490594022</v>
      </c>
    </row>
    <row r="332" spans="1:7">
      <c r="A332" t="s">
        <v>79</v>
      </c>
      <c r="B332" t="s">
        <v>82</v>
      </c>
      <c r="C332">
        <v>6400</v>
      </c>
      <c r="D332" s="8">
        <v>33043.27</v>
      </c>
      <c r="E332" s="8">
        <v>34949.34</v>
      </c>
      <c r="F332" s="8">
        <v>-1906.07</v>
      </c>
      <c r="G332" s="9">
        <v>-0.05768406092980507</v>
      </c>
    </row>
    <row r="333" spans="1:7">
      <c r="A333" t="s">
        <v>79</v>
      </c>
      <c r="B333" t="s">
        <v>82</v>
      </c>
      <c r="C333">
        <v>6500</v>
      </c>
      <c r="D333" s="8">
        <v>9215.440000000001</v>
      </c>
      <c r="E333" s="8">
        <v>24997.89</v>
      </c>
      <c r="F333" s="8">
        <v>-15782.45</v>
      </c>
      <c r="G333" s="9">
        <v>-1.712609490159992</v>
      </c>
    </row>
    <row r="334" spans="1:7">
      <c r="A334" t="s">
        <v>80</v>
      </c>
      <c r="B334" t="s">
        <v>55</v>
      </c>
      <c r="C334">
        <v>5000</v>
      </c>
      <c r="D334" s="8">
        <v>64361.78</v>
      </c>
      <c r="E334" s="8">
        <v>0</v>
      </c>
      <c r="F334" s="8">
        <v>64361.78</v>
      </c>
      <c r="G334" s="9">
        <v>1</v>
      </c>
    </row>
    <row r="335" spans="1:7">
      <c r="A335" t="s">
        <v>80</v>
      </c>
      <c r="B335" t="s">
        <v>55</v>
      </c>
      <c r="C335">
        <v>6100</v>
      </c>
      <c r="D335" s="8">
        <v>9921.27</v>
      </c>
      <c r="E335" s="8">
        <v>29920.42</v>
      </c>
      <c r="F335" s="8">
        <v>-19999.15</v>
      </c>
      <c r="G335" s="9">
        <v>-2.015785277489676</v>
      </c>
    </row>
    <row r="336" spans="1:7">
      <c r="A336" t="s">
        <v>80</v>
      </c>
      <c r="B336" t="s">
        <v>55</v>
      </c>
      <c r="C336">
        <v>6200</v>
      </c>
      <c r="D336" s="8">
        <v>58217.7</v>
      </c>
      <c r="E336" s="8">
        <v>36711.66</v>
      </c>
      <c r="F336" s="8">
        <v>21506.04</v>
      </c>
      <c r="G336" s="9">
        <v>0.3694072421273943</v>
      </c>
    </row>
    <row r="337" spans="1:7">
      <c r="A337" t="s">
        <v>80</v>
      </c>
      <c r="B337" t="s">
        <v>55</v>
      </c>
      <c r="C337">
        <v>6300</v>
      </c>
      <c r="D337" s="8">
        <v>35253.89</v>
      </c>
      <c r="E337" s="8">
        <v>0</v>
      </c>
      <c r="F337" s="8">
        <v>35253.89</v>
      </c>
      <c r="G337" s="9">
        <v>1</v>
      </c>
    </row>
    <row r="338" spans="1:7">
      <c r="A338" t="s">
        <v>80</v>
      </c>
      <c r="B338" t="s">
        <v>55</v>
      </c>
      <c r="C338">
        <v>6400</v>
      </c>
      <c r="D338" s="8">
        <v>63538.73</v>
      </c>
      <c r="E338" s="8">
        <v>27175.22</v>
      </c>
      <c r="F338" s="8">
        <v>36363.51</v>
      </c>
      <c r="G338" s="9">
        <v>0.5723046400203466</v>
      </c>
    </row>
    <row r="339" spans="1:7">
      <c r="A339" t="s">
        <v>80</v>
      </c>
      <c r="B339" t="s">
        <v>55</v>
      </c>
      <c r="C339">
        <v>6500</v>
      </c>
      <c r="D339" s="8">
        <v>44321.47</v>
      </c>
      <c r="E339" s="8">
        <v>39377.25999999999</v>
      </c>
      <c r="F339" s="8">
        <v>4944.210000000006</v>
      </c>
      <c r="G339" s="9">
        <v>0.1115533848493745</v>
      </c>
    </row>
    <row r="340" spans="1:7">
      <c r="A340" t="s">
        <v>80</v>
      </c>
      <c r="B340" t="s">
        <v>57</v>
      </c>
      <c r="C340">
        <v>5000</v>
      </c>
      <c r="D340" s="8">
        <v>47650.42</v>
      </c>
      <c r="E340" s="8">
        <v>69696.95</v>
      </c>
      <c r="F340" s="8">
        <v>-22046.53</v>
      </c>
      <c r="G340" s="9">
        <v>-0.4626723122272584</v>
      </c>
    </row>
    <row r="341" spans="1:7">
      <c r="A341" t="s">
        <v>80</v>
      </c>
      <c r="B341" t="s">
        <v>57</v>
      </c>
      <c r="C341">
        <v>6100</v>
      </c>
      <c r="D341" s="8">
        <v>18030.3</v>
      </c>
      <c r="E341" s="8">
        <v>17022.83</v>
      </c>
      <c r="F341" s="8">
        <v>1007.469999999998</v>
      </c>
      <c r="G341" s="9">
        <v>0.05587649678596571</v>
      </c>
    </row>
    <row r="342" spans="1:7">
      <c r="A342" t="s">
        <v>80</v>
      </c>
      <c r="B342" t="s">
        <v>57</v>
      </c>
      <c r="C342">
        <v>6200</v>
      </c>
      <c r="D342" s="8">
        <v>70638.53999999999</v>
      </c>
      <c r="E342" s="8">
        <v>25760.72</v>
      </c>
      <c r="F342" s="8">
        <v>44877.81999999999</v>
      </c>
      <c r="G342" s="9">
        <v>0.6353163584638074</v>
      </c>
    </row>
    <row r="343" spans="1:7">
      <c r="A343" t="s">
        <v>80</v>
      </c>
      <c r="B343" t="s">
        <v>57</v>
      </c>
      <c r="C343">
        <v>6300</v>
      </c>
      <c r="D343" s="8">
        <v>20054.51</v>
      </c>
      <c r="E343" s="8">
        <v>24458.81</v>
      </c>
      <c r="F343" s="8">
        <v>-4404.300000000003</v>
      </c>
      <c r="G343" s="9">
        <v>-0.219616435405303</v>
      </c>
    </row>
    <row r="344" spans="1:7">
      <c r="A344" t="s">
        <v>80</v>
      </c>
      <c r="B344" t="s">
        <v>57</v>
      </c>
      <c r="C344">
        <v>6400</v>
      </c>
      <c r="D344" s="8">
        <v>9322.059999999999</v>
      </c>
      <c r="E344" s="8">
        <v>22286.87</v>
      </c>
      <c r="F344" s="8">
        <v>-12964.81</v>
      </c>
      <c r="G344" s="9">
        <v>-1.390766633126155</v>
      </c>
    </row>
    <row r="345" spans="1:7">
      <c r="A345" t="s">
        <v>80</v>
      </c>
      <c r="B345" t="s">
        <v>57</v>
      </c>
      <c r="C345">
        <v>6500</v>
      </c>
      <c r="D345" s="8">
        <v>7480.33</v>
      </c>
      <c r="E345" s="8">
        <v>42482.05</v>
      </c>
      <c r="F345" s="8">
        <v>-35001.72</v>
      </c>
      <c r="G345" s="9">
        <v>-4.679167897672964</v>
      </c>
    </row>
    <row r="346" spans="1:7">
      <c r="A346" t="s">
        <v>80</v>
      </c>
      <c r="B346" t="s">
        <v>56</v>
      </c>
      <c r="C346">
        <v>5000</v>
      </c>
      <c r="D346" s="8">
        <v>8791.950000000001</v>
      </c>
      <c r="E346" s="8">
        <v>0</v>
      </c>
      <c r="F346" s="8">
        <v>8791.950000000001</v>
      </c>
      <c r="G346" s="9">
        <v>1</v>
      </c>
    </row>
    <row r="347" spans="1:7">
      <c r="A347" t="s">
        <v>80</v>
      </c>
      <c r="B347" t="s">
        <v>56</v>
      </c>
      <c r="C347">
        <v>6100</v>
      </c>
      <c r="D347" s="8">
        <v>32028.13</v>
      </c>
      <c r="E347" s="8">
        <v>0</v>
      </c>
      <c r="F347" s="8">
        <v>32028.13</v>
      </c>
      <c r="G347" s="9">
        <v>1</v>
      </c>
    </row>
    <row r="348" spans="1:7">
      <c r="A348" t="s">
        <v>80</v>
      </c>
      <c r="B348" t="s">
        <v>56</v>
      </c>
      <c r="C348">
        <v>6200</v>
      </c>
      <c r="D348" s="8">
        <v>19933.23</v>
      </c>
      <c r="E348" s="8">
        <v>58844.67</v>
      </c>
      <c r="F348" s="8">
        <v>-38911.44</v>
      </c>
      <c r="G348" s="9">
        <v>-1.952089049291058</v>
      </c>
    </row>
    <row r="349" spans="1:7">
      <c r="A349" t="s">
        <v>80</v>
      </c>
      <c r="B349" t="s">
        <v>56</v>
      </c>
      <c r="C349">
        <v>6300</v>
      </c>
      <c r="D349" s="8">
        <v>32626.39</v>
      </c>
      <c r="E349" s="8">
        <v>3857.39</v>
      </c>
      <c r="F349" s="8">
        <v>28769</v>
      </c>
      <c r="G349" s="9">
        <v>0.8817708609502921</v>
      </c>
    </row>
    <row r="350" spans="1:7">
      <c r="A350" t="s">
        <v>80</v>
      </c>
      <c r="B350" t="s">
        <v>56</v>
      </c>
      <c r="C350">
        <v>6400</v>
      </c>
      <c r="D350" s="8">
        <v>39816.38</v>
      </c>
      <c r="E350" s="8">
        <v>29964.85</v>
      </c>
      <c r="F350" s="8">
        <v>9851.529999999999</v>
      </c>
      <c r="G350" s="9">
        <v>0.2474240501019932</v>
      </c>
    </row>
    <row r="351" spans="1:7">
      <c r="A351" t="s">
        <v>80</v>
      </c>
      <c r="B351" t="s">
        <v>56</v>
      </c>
      <c r="C351">
        <v>6500</v>
      </c>
      <c r="D351" s="8">
        <v>34770.67</v>
      </c>
      <c r="E351" s="8">
        <v>18412.42</v>
      </c>
      <c r="F351" s="8">
        <v>16358.25</v>
      </c>
      <c r="G351" s="9">
        <v>0.4704611674149506</v>
      </c>
    </row>
    <row r="352" spans="1:7">
      <c r="A352" t="s">
        <v>80</v>
      </c>
      <c r="B352" t="s">
        <v>81</v>
      </c>
      <c r="C352">
        <v>5000</v>
      </c>
      <c r="D352" s="8">
        <v>74230.52</v>
      </c>
      <c r="E352" s="8">
        <v>0</v>
      </c>
      <c r="F352" s="8">
        <v>74230.52</v>
      </c>
      <c r="G352" s="9">
        <v>1</v>
      </c>
    </row>
    <row r="353" spans="1:7">
      <c r="A353" t="s">
        <v>80</v>
      </c>
      <c r="B353" t="s">
        <v>81</v>
      </c>
      <c r="C353">
        <v>6100</v>
      </c>
      <c r="D353" s="8">
        <v>56088.08</v>
      </c>
      <c r="E353" s="8">
        <v>27876.76</v>
      </c>
      <c r="F353" s="8">
        <v>28211.32</v>
      </c>
      <c r="G353" s="9">
        <v>0.5029824518863901</v>
      </c>
    </row>
    <row r="354" spans="1:7">
      <c r="A354" t="s">
        <v>80</v>
      </c>
      <c r="B354" t="s">
        <v>81</v>
      </c>
      <c r="C354">
        <v>6200</v>
      </c>
      <c r="D354" s="8">
        <v>23145.36</v>
      </c>
      <c r="E354" s="8">
        <v>19584.43</v>
      </c>
      <c r="F354" s="8">
        <v>3560.93</v>
      </c>
      <c r="G354" s="9">
        <v>0.153850707009958</v>
      </c>
    </row>
    <row r="355" spans="1:7">
      <c r="A355" t="s">
        <v>80</v>
      </c>
      <c r="B355" t="s">
        <v>81</v>
      </c>
      <c r="C355">
        <v>6300</v>
      </c>
      <c r="D355" s="8">
        <v>41659.01</v>
      </c>
      <c r="E355" s="8">
        <v>23408.29</v>
      </c>
      <c r="F355" s="8">
        <v>18250.72</v>
      </c>
      <c r="G355" s="9">
        <v>0.4380977848489438</v>
      </c>
    </row>
    <row r="356" spans="1:7">
      <c r="A356" t="s">
        <v>80</v>
      </c>
      <c r="B356" t="s">
        <v>81</v>
      </c>
      <c r="C356">
        <v>6400</v>
      </c>
      <c r="D356" s="8">
        <v>38457.76</v>
      </c>
      <c r="E356" s="8">
        <v>20602.57</v>
      </c>
      <c r="F356" s="8">
        <v>17855.19</v>
      </c>
      <c r="G356" s="9">
        <v>0.4642805509213225</v>
      </c>
    </row>
    <row r="357" spans="1:7">
      <c r="A357" t="s">
        <v>80</v>
      </c>
      <c r="B357" t="s">
        <v>81</v>
      </c>
      <c r="C357">
        <v>6500</v>
      </c>
      <c r="D357" s="8">
        <v>77039.03</v>
      </c>
      <c r="E357" s="8">
        <v>0</v>
      </c>
      <c r="F357" s="8">
        <v>77039.03</v>
      </c>
      <c r="G357" s="9">
        <v>1</v>
      </c>
    </row>
    <row r="358" spans="1:7">
      <c r="A358" t="s">
        <v>80</v>
      </c>
      <c r="B358" t="s">
        <v>82</v>
      </c>
      <c r="C358">
        <v>5000</v>
      </c>
      <c r="D358" s="8">
        <v>40593.67</v>
      </c>
      <c r="E358" s="8">
        <v>0</v>
      </c>
      <c r="F358" s="8">
        <v>40593.67</v>
      </c>
      <c r="G358" s="9">
        <v>1</v>
      </c>
    </row>
    <row r="359" spans="1:7">
      <c r="A359" t="s">
        <v>80</v>
      </c>
      <c r="B359" t="s">
        <v>82</v>
      </c>
      <c r="C359">
        <v>6100</v>
      </c>
      <c r="D359" s="8">
        <v>46350.03</v>
      </c>
      <c r="E359" s="8">
        <v>0</v>
      </c>
      <c r="F359" s="8">
        <v>46350.03</v>
      </c>
      <c r="G359" s="9">
        <v>1</v>
      </c>
    </row>
    <row r="360" spans="1:7">
      <c r="A360" t="s">
        <v>80</v>
      </c>
      <c r="B360" t="s">
        <v>82</v>
      </c>
      <c r="C360">
        <v>6200</v>
      </c>
      <c r="D360" s="8">
        <v>30818.68</v>
      </c>
      <c r="E360" s="8">
        <v>46005.9</v>
      </c>
      <c r="F360" s="8">
        <v>-15187.22</v>
      </c>
      <c r="G360" s="9">
        <v>-0.4927926828793446</v>
      </c>
    </row>
    <row r="361" spans="1:7">
      <c r="A361" t="s">
        <v>80</v>
      </c>
      <c r="B361" t="s">
        <v>82</v>
      </c>
      <c r="C361">
        <v>6300</v>
      </c>
      <c r="D361" s="8">
        <v>67824.03</v>
      </c>
      <c r="E361" s="8">
        <v>46068.17</v>
      </c>
      <c r="F361" s="8">
        <v>21755.86</v>
      </c>
      <c r="G361" s="9">
        <v>0.320769202301898</v>
      </c>
    </row>
    <row r="362" spans="1:7">
      <c r="A362" t="s">
        <v>80</v>
      </c>
      <c r="B362" t="s">
        <v>82</v>
      </c>
      <c r="C362">
        <v>6400</v>
      </c>
      <c r="D362" s="8">
        <v>24399.49</v>
      </c>
      <c r="E362" s="8">
        <v>58480.91</v>
      </c>
      <c r="F362" s="8">
        <v>-34081.42</v>
      </c>
      <c r="G362" s="9">
        <v>-1.396808703788481</v>
      </c>
    </row>
    <row r="363" spans="1:7">
      <c r="A363" t="s">
        <v>80</v>
      </c>
      <c r="B363" t="s">
        <v>82</v>
      </c>
      <c r="C363">
        <v>6500</v>
      </c>
      <c r="D363" s="8">
        <v>67315.27</v>
      </c>
      <c r="E363" s="8">
        <v>10127.39</v>
      </c>
      <c r="F363" s="8">
        <v>57187.88</v>
      </c>
      <c r="G363" s="9">
        <v>0.8495528577691214</v>
      </c>
    </row>
  </sheetData>
  <mergeCells count="1">
    <mergeCell ref="A1:G1"/>
  </mergeCells>
  <conditionalFormatting sqref="F4:F363">
    <cfRule type="cellIs" dxfId="0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Control Summary</vt:lpstr>
      <vt:lpstr>Control Exceptions</vt:lpstr>
      <vt:lpstr>Close Checklist</vt:lpstr>
      <vt:lpstr>Budget Variance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2026-08-28T21:46:26Z</dcterms:created>
  <dcterms:modified xsi:type="dcterms:W3CDTF">2026-08-28T21:46:26Z</dcterms:modified>
</cp:coreProperties>
</file>